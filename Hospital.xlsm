
<file path=[Content_Types].xml><?xml version="1.0" encoding="utf-8"?>
<Types xmlns="http://schemas.openxmlformats.org/package/2006/content-type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166925"/>
  <mc:AlternateContent xmlns:mc="http://schemas.openxmlformats.org/markup-compatibility/2006">
    <mc:Choice Requires="x15">
      <x15ac:absPath xmlns:x15ac="http://schemas.microsoft.com/office/spreadsheetml/2010/11/ac" url="C:\Users\tejas k m\Downloads\"/>
    </mc:Choice>
  </mc:AlternateContent>
  <xr:revisionPtr revIDLastSave="0" documentId="13_ncr:1_{15D9A036-15DA-4944-9424-B66E94460DDC}" xr6:coauthVersionLast="47" xr6:coauthVersionMax="47" xr10:uidLastSave="{00000000-0000-0000-0000-000000000000}"/>
  <bookViews>
    <workbookView xWindow="-108" yWindow="-108" windowWidth="23256" windowHeight="12456" activeTab="1" xr2:uid="{C2FB8645-03D9-432A-B70E-6EF826A33EF9}"/>
  </bookViews>
  <sheets>
    <sheet name="Pivot Report" sheetId="1" r:id="rId1"/>
    <sheet name="Dashboard" sheetId="2" r:id="rId2"/>
    <sheet name="Average patient satisfaction sc" sheetId="5" r:id="rId3"/>
    <sheet name="Average waiting time" sheetId="4" r:id="rId4"/>
    <sheet name="Daily NO of patients" sheetId="3" r:id="rId5"/>
  </sheets>
  <definedNames>
    <definedName name="Slicer_Date__Month">#N/A</definedName>
    <definedName name="Slicer_Date__Year">#N/A</definedName>
  </definedNames>
  <calcPr calcId="191029"/>
  <pivotCaches>
    <pivotCache cacheId="3132" r:id="rId6"/>
    <pivotCache cacheId="3135" r:id="rId7"/>
    <pivotCache cacheId="3138" r:id="rId8"/>
    <pivotCache cacheId="3141" r:id="rId9"/>
    <pivotCache cacheId="3144" r:id="rId10"/>
    <pivotCache cacheId="3147" r:id="rId11"/>
    <pivotCache cacheId="3150" r:id="rId12"/>
    <pivotCache cacheId="3153" r:id="rId13"/>
    <pivotCache cacheId="3156" r:id="rId14"/>
    <pivotCache cacheId="3159" r:id="rId15"/>
    <pivotCache cacheId="3162" r:id="rId16"/>
    <pivotCache cacheId="3165" r:id="rId17"/>
  </pivotCaches>
  <extLst>
    <ext xmlns:x14="http://schemas.microsoft.com/office/spreadsheetml/2009/9/main" uri="{876F7934-8845-4945-9796-88D515C7AA90}">
      <x14:pivotCaches>
        <pivotCache cacheId="2921"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75b28f12-316e-457f-a4ff-8e0ff96354e4" name="Hospital Emergency Room Data" connection="Query - Hospital Emergency Room Data"/>
          <x15:modelTable id="calender_table_4f507421-1c65-4df0-a859-3ce1515221d3" name="calender_table" connection="Query - calender_table"/>
        </x15:modelTables>
        <x15:modelRelationships>
          <x15:modelRelationship fromTable="Hospital Emergency Room Data" fromColumn="Patient Admission date" toTable="calender_table" toColumn="Date"/>
        </x15:modelRelationships>
        <x15:extLst>
          <ext xmlns:x16="http://schemas.microsoft.com/office/spreadsheetml/2014/11/main" uri="{9835A34E-60A6-4A7C-AAB8-D5F71C897F49}">
            <x16:modelTimeGroupings>
              <x16:modelTimeGrouping tableName="calender_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0"/>
                <x16:calculatedTimeColumn columnName="Date (Day)" columnId="Date (Day)" contentType="day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9" i="1" l="1"/>
  <c r="A48" i="1"/>
  <c r="B48" i="1"/>
  <c r="C48" i="1"/>
  <c r="C49" i="1"/>
  <c r="B4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320791-FB84-4D4C-BBF7-CAEE513C7F81}" name="Query - calender_table" description="Connection to the 'calender_table' query in the workbook." type="100" refreshedVersion="8" minRefreshableVersion="5">
    <extLst>
      <ext xmlns:x15="http://schemas.microsoft.com/office/spreadsheetml/2010/11/main" uri="{DE250136-89BD-433C-8126-D09CA5730AF9}">
        <x15:connection id="76beac59-e944-43b8-9af2-d8d3612e5c2e"/>
      </ext>
    </extLst>
  </connection>
  <connection id="2" xr16:uid="{99C6B312-7E91-4AAE-A679-7B8BCAC3DBB0}"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80cf0a59-c269-42a4-85fe-2ddb9c52ce49">
          <x15:oledbPr connection="Provider=Microsoft.Mashup.OleDb.1;Data Source=$Workbook$;Location=&quot;Hospital Emergency Room Data&quot;;Extended Properties=&quot;&quot;">
            <x15:dbTables>
              <x15:dbTable name="Hospital Emergency Room Data"/>
            </x15:dbTables>
          </x15:oledbPr>
        </x15:connection>
      </ext>
    </extLst>
  </connection>
  <connection id="3" xr16:uid="{9E71C346-57CD-4B22-BF61-CA3E6FA714E9}"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<sst xmlns="http://schemas.openxmlformats.org/spreadsheetml/2006/main" count="148" uniqueCount="69">
  <si>
    <t>Count of Patient Id</t>
  </si>
  <si>
    <t>Average of Patient Waittime</t>
  </si>
  <si>
    <t>Average of Patient Satisfaction Score</t>
  </si>
  <si>
    <t>Grand Total</t>
  </si>
  <si>
    <t>Row Labels</t>
  </si>
  <si>
    <t>1-Apr</t>
  </si>
  <si>
    <t>2-Apr</t>
  </si>
  <si>
    <t>3-Apr</t>
  </si>
  <si>
    <t>4-Apr</t>
  </si>
  <si>
    <t>5-Apr</t>
  </si>
  <si>
    <t>6-Apr</t>
  </si>
  <si>
    <t>7-Apr</t>
  </si>
  <si>
    <t>8-Apr</t>
  </si>
  <si>
    <t>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</si>
  <si>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</si>
  <si>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</si>
  <si>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</si>
  <si>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</si>
  <si>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</si>
  <si>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</si>
  <si>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</si>
  <si>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</si>
  <si>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</si>
  <si>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</si>
  <si>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</si>
  <si>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</si>
  <si>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</si>
  <si>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</si>
  <si>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</si>
  <si>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</si>
  <si>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</si>
  <si>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</si>
  <si>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</si>
  <si>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</si>
  <si>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</si>
  <si>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Showing a daily trend with an area sparkline to spot patterns like busy days or seasonal trends</t>
  </si>
  <si>
    <t>Delay</t>
  </si>
  <si>
    <t>Ontime</t>
  </si>
  <si>
    <t>Admitted</t>
  </si>
  <si>
    <t>Not admitted</t>
  </si>
  <si>
    <t>Count of Patient Admission Flag</t>
  </si>
  <si>
    <t>Count of Patient Admission Flag2</t>
  </si>
  <si>
    <t>No. of patients</t>
  </si>
  <si>
    <t>% Status</t>
  </si>
  <si>
    <t>Admission status</t>
  </si>
  <si>
    <t>dfs</t>
  </si>
  <si>
    <t>0-9</t>
  </si>
  <si>
    <t>10-19</t>
  </si>
  <si>
    <t>20-29</t>
  </si>
  <si>
    <t>30-39</t>
  </si>
  <si>
    <t>40-49</t>
  </si>
  <si>
    <t>50-59</t>
  </si>
  <si>
    <t>60-69</t>
  </si>
  <si>
    <t>70-79</t>
  </si>
  <si>
    <t>Count of Patient Age</t>
  </si>
  <si>
    <t>Count of Patient attend status</t>
  </si>
  <si>
    <t>Female</t>
  </si>
  <si>
    <t>Male</t>
  </si>
  <si>
    <t>Count of Patient Gender</t>
  </si>
  <si>
    <t>Cardiology</t>
  </si>
  <si>
    <t>Gastroenterology</t>
  </si>
  <si>
    <t>General Practice</t>
  </si>
  <si>
    <t>Neurology</t>
  </si>
  <si>
    <t>None</t>
  </si>
  <si>
    <t>Orthopedics</t>
  </si>
  <si>
    <t>Physiotherapy</t>
  </si>
  <si>
    <t>Renal</t>
  </si>
  <si>
    <t>Count of Department Referral</t>
  </si>
  <si>
    <t>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</si>
</sst>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14"/>
      <color rgb="FFC00000"/>
      <name val="Calibri"/>
      <family val="2"/>
      <scheme val="minor"/>
    </font>
    <font>
      <sz val="12"/>
      <color theme="1"/>
      <name val="Calibri"/>
      <family val="2"/>
      <scheme val="minor"/>
    </font>
  </fonts>
  <fills count="5">
    <fill>
      <patternFill patternType="none"/>
    </fill>
    <fill>
      <patternFill patternType="gray125"/>
    </fill>
    <fill>
      <patternFill patternType="solid">
        <fgColor theme="3"/>
        <bgColor indexed="64"/>
      </patternFill>
    </fill>
    <fill>
      <patternFill patternType="solid">
        <fgColor theme="4" tint="0.39997558519241921"/>
        <bgColor indexed="64"/>
      </patternFill>
    </fill>
    <fill>
      <patternFill patternType="solid">
        <fgColor theme="2"/>
        <bgColor indexed="64"/>
      </patternFill>
    </fill>
  </fills>
  <borders count="1">
    <border>
      <left/>
      <right/>
      <top/>
      <bottom/>
      <diagonal/>
    </border>
  </borders>
  <cellStyleXfs count="1">
    <xf numFmtId="0" fontId="0" fillId="0" borderId="0"/>
  </cellStyleXfs>
  <cellXfs count="17">
    <xf numFmtId="0" fontId="0" fillId="0" borderId="0" xfId="0"/>
    <xf numFmtId="2" fontId="0" fillId="0" borderId="0" xfId="0" applyNumberForma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0" fontId="1" fillId="0" borderId="0" xfId="0" applyFont="1" applyAlignment="1">
      <alignment horizontal="center" vertical="top"/>
    </xf>
    <xf numFmtId="10" fontId="0" fillId="0" borderId="0" xfId="0" applyNumberFormat="1"/>
    <xf numFmtId="0" fontId="0" fillId="3" borderId="0" xfId="0" applyFill="1"/>
    <xf numFmtId="0" fontId="0" fillId="4" borderId="0" xfId="0" applyFill="1"/>
    <xf numFmtId="0" fontId="0" fillId="0" borderId="0" xfId="0" applyAlignment="1">
      <alignment vertical="center"/>
    </xf>
    <xf numFmtId="0" fontId="0" fillId="0" borderId="0" xfId="0" applyAlignment="1">
      <alignment horizontal="right" vertical="top"/>
    </xf>
    <xf numFmtId="0" fontId="2" fillId="3" borderId="0" xfId="0" applyFont="1" applyFill="1" applyAlignment="1">
      <alignment horizontal="center"/>
    </xf>
    <xf numFmtId="2" fontId="0" fillId="4" borderId="0" xfId="0" applyNumberFormat="1" applyFill="1" applyAlignment="1">
      <alignment horizontal="center"/>
    </xf>
    <xf numFmtId="0" fontId="0" fillId="4" borderId="0" xfId="0" applyFill="1" applyAlignment="1">
      <alignment horizontal="center"/>
    </xf>
    <xf numFmtId="10" fontId="0" fillId="4" borderId="0" xfId="0" applyNumberFormat="1" applyFill="1" applyAlignment="1">
      <alignment horizontal="center"/>
    </xf>
    <xf numFmtId="1" fontId="0" fillId="0" borderId="0" xfId="0" applyNumberFormat="1"/>
  </cellXfs>
  <cellStyles count="1">
    <cellStyle name="Normal" xfId="0" builtinId="0"/>
  </cellStyles>
  <dxfs count="335">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14"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2" formatCode="0.00"/>
    </dxf>
    <dxf>
      <numFmt numFmtId="2" formatCode="0.00"/>
    </dxf>
    <dxf>
      <numFmt numFmtId="2" formatCode="0.00"/>
    </dxf>
    <dxf>
      <numFmt numFmtId="2" formatCode="0.00"/>
    </dxf>
    <dxf>
      <font>
        <b/>
        <color theme="1"/>
      </font>
      <border>
        <bottom style="thin">
          <color theme="9"/>
        </bottom>
        <vertical/>
        <horizontal/>
      </border>
    </dxf>
    <dxf>
      <font>
        <sz val="8"/>
        <color theme="1"/>
      </font>
      <fill>
        <patternFill>
          <bgColor theme="2"/>
        </patternFill>
      </fill>
      <border diagonalUp="0" diagonalDown="0">
        <left/>
        <right/>
        <top/>
        <bottom/>
        <vertical/>
        <horizontal/>
      </border>
    </dxf>
  </dxfs>
  <tableStyles count="1" defaultTableStyle="TableStyleMedium2" defaultPivotStyle="PivotStyleLight16">
    <tableStyle name="My style" pivot="0" table="0" count="10" xr9:uid="{E68EB52F-1CD6-40CB-8F97-88BFF6EDD60A}">
      <tableStyleElement type="wholeTable" dxfId="334"/>
      <tableStyleElement type="headerRow" dxfId="333"/>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0" Type="http://schemas.microsoft.com/office/2007/relationships/slicerCache" Target="slicerCaches/slicerCache2.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haredStrings" Target="sharedString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styles" Target="styles.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5.xml"/><Relationship Id="rId19" Type="http://schemas.microsoft.com/office/2007/relationships/slicerCache" Target="slicerCaches/slicerCache1.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[Hospital.xlsm]Pivot Report!PivotTable6</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Report'!$N$3</c:f>
              <c:strCache>
                <c:ptCount val="1"/>
                <c:pt idx="0">
                  <c:v>Total</c:v>
                </c:pt>
              </c:strCache>
            </c:strRef>
          </c:tx>
          <c:spPr>
            <a:solidFill>
              <a:schemeClr val="accent1"/>
            </a:solidFill>
            <a:ln>
              <a:noFill/>
            </a:ln>
            <a:effectLst/>
          </c:spPr>
          <c:cat>
            <c:strRef>
              <c:f>'Pivot Report'!$M$4:$M$34</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Report'!$N$4:$N$34</c:f>
              <c:numCache>
                <c:formatCode>0.00</c:formatCode>
                <c:ptCount val="30"/>
                <c:pt idx="0">
                  <c:v>3.8</c:v>
                </c:pt>
                <c:pt idx="1">
                  <c:v>7.75</c:v>
                </c:pt>
                <c:pt idx="2">
                  <c:v>4.5999999999999996</c:v>
                </c:pt>
                <c:pt idx="3">
                  <c:v>6</c:v>
                </c:pt>
                <c:pt idx="4">
                  <c:v>5.5714285714285712</c:v>
                </c:pt>
                <c:pt idx="5">
                  <c:v>2</c:v>
                </c:pt>
                <c:pt idx="6">
                  <c:v>8</c:v>
                </c:pt>
                <c:pt idx="7">
                  <c:v>8</c:v>
                </c:pt>
                <c:pt idx="8">
                  <c:v>5.25</c:v>
                </c:pt>
                <c:pt idx="9">
                  <c:v>6</c:v>
                </c:pt>
                <c:pt idx="10">
                  <c:v>6.5</c:v>
                </c:pt>
                <c:pt idx="11">
                  <c:v>5.75</c:v>
                </c:pt>
                <c:pt idx="12">
                  <c:v>5.6</c:v>
                </c:pt>
                <c:pt idx="13">
                  <c:v>6.5</c:v>
                </c:pt>
                <c:pt idx="14">
                  <c:v>5.666666666666667</c:v>
                </c:pt>
                <c:pt idx="15">
                  <c:v>5.666666666666667</c:v>
                </c:pt>
                <c:pt idx="16">
                  <c:v>5.8</c:v>
                </c:pt>
                <c:pt idx="17">
                  <c:v>4.666666666666667</c:v>
                </c:pt>
                <c:pt idx="18">
                  <c:v>4.833333333333333</c:v>
                </c:pt>
                <c:pt idx="19">
                  <c:v>2.3333333333333335</c:v>
                </c:pt>
                <c:pt idx="20">
                  <c:v>4.5</c:v>
                </c:pt>
                <c:pt idx="21">
                  <c:v>6.666666666666667</c:v>
                </c:pt>
                <c:pt idx="22">
                  <c:v>7.5</c:v>
                </c:pt>
                <c:pt idx="23">
                  <c:v>5.2857142857142856</c:v>
                </c:pt>
                <c:pt idx="24">
                  <c:v>2.875</c:v>
                </c:pt>
                <c:pt idx="25">
                  <c:v>6.25</c:v>
                </c:pt>
                <c:pt idx="26">
                  <c:v>6.125</c:v>
                </c:pt>
                <c:pt idx="27">
                  <c:v>5.75</c:v>
                </c:pt>
                <c:pt idx="28">
                  <c:v>5.375</c:v>
                </c:pt>
                <c:pt idx="29">
                  <c:v>5.6</c:v>
                </c:pt>
              </c:numCache>
            </c:numRef>
          </c:val>
          <c:extLst>
            <c:ext xmlns:c16="http://schemas.microsoft.com/office/drawing/2014/chart" uri="{C3380CC4-5D6E-409C-BE32-E72D297353CC}">
              <c16:uniqueId val="{00000000-1253-499B-A9B5-C5C627EB3CFB}"/>
            </c:ext>
          </c:extLst>
        </c:ser>
        <c:dLbls>
          <c:showLegendKey val="0"/>
          <c:showVal val="0"/>
          <c:showCatName val="0"/>
          <c:showSerName val="0"/>
          <c:showPercent val="0"/>
          <c:showBubbleSize val="0"/>
        </c:dLbls>
        <c:axId val="606447759"/>
        <c:axId val="750554511"/>
      </c:areaChart>
      <c:catAx>
        <c:axId val="6064477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554511"/>
        <c:crosses val="autoZero"/>
        <c:auto val="1"/>
        <c:lblAlgn val="ctr"/>
        <c:lblOffset val="100"/>
        <c:noMultiLvlLbl val="0"/>
      </c:catAx>
      <c:valAx>
        <c:axId val="750554511"/>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60644775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[Hospital.xlsm]Pivot Report!PivotTable7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dlblFieldTable/>
              <c15:showDataLabelsRange val="1"/>
            </c:ext>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tx>
            <c:rich>
              <a:bodyPr rot="0" spcFirstLastPara="1" vertOverflow="ellipsis" vert="horz" wrap="non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fld id="{2CD64C17-9960-4BBF-B6DE-8BA4EC34D7BD}" type="CELLRANGE">
                  <a:rPr lang="en-US"/>
                  <a:pPr>
                    <a:defRPr sz="700"/>
                  </a:pPr>
                  <a:t>[CELLRANGE]</a:t>
                </a:fld>
                <a:endParaRPr lang="en-IN"/>
              </a:p>
            </c:rich>
          </c:tx>
          <c:spPr>
            <a:noFill/>
            <a:ln>
              <a:noFill/>
            </a:ln>
            <a:effectLst/>
          </c:spPr>
          <c:txPr>
            <a:bodyPr rot="0" spcFirstLastPara="1" vertOverflow="ellipsis" vert="horz" wrap="non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dlblFieldTable/>
              <c15:xForSave val="1"/>
              <c15:showDataLabelsRange val="1"/>
            </c:ext>
          </c:extLst>
        </c:dLbl>
      </c:pivotFmt>
      <c:pivotFmt>
        <c:idx val="3"/>
        <c:spPr>
          <a:solidFill>
            <a:schemeClr val="accent1"/>
          </a:solidFill>
          <a:ln>
            <a:noFill/>
          </a:ln>
          <a:effectLst/>
        </c:spPr>
        <c:dLbl>
          <c:idx val="0"/>
          <c:tx>
            <c:rich>
              <a:bodyPr rot="0" spcFirstLastPara="1" vertOverflow="ellipsis" vert="horz" wrap="non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fld id="{FD1C1C90-DF40-440E-93B1-7BC9213064B8}" type="CELLRANGE">
                  <a:rPr lang="en-US"/>
                  <a:pPr>
                    <a:defRPr sz="700"/>
                  </a:pPr>
                  <a:t>[CELLRANGE]</a:t>
                </a:fld>
                <a:endParaRPr lang="en-IN"/>
              </a:p>
            </c:rich>
          </c:tx>
          <c:spPr>
            <a:noFill/>
            <a:ln>
              <a:noFill/>
            </a:ln>
            <a:effectLst/>
          </c:spPr>
          <c:txPr>
            <a:bodyPr rot="0" spcFirstLastPara="1" vertOverflow="ellipsis" vert="horz" wrap="non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dlblFieldTable/>
              <c15:xForSave val="1"/>
              <c15:showDataLabelsRange val="1"/>
            </c:ext>
          </c:extLst>
        </c:dLbl>
      </c:pivotFmt>
    </c:pivotFmts>
    <c:plotArea>
      <c:layout/>
      <c:barChart>
        <c:barDir val="bar"/>
        <c:grouping val="clustered"/>
        <c:varyColors val="0"/>
        <c:ser>
          <c:idx val="0"/>
          <c:order val="0"/>
          <c:tx>
            <c:strRef>
              <c:f>'Pivot Report'!$C$43:$C$44</c:f>
              <c:strCache>
                <c:ptCount val="1"/>
                <c:pt idx="0">
                  <c:v>Count of Patient Admission Flag</c:v>
                </c:pt>
              </c:strCache>
            </c:strRef>
          </c:tx>
          <c:spPr>
            <a:solidFill>
              <a:schemeClr val="accent1"/>
            </a:solidFill>
            <a:ln>
              <a:noFill/>
            </a:ln>
            <a:effectLst/>
          </c:spPr>
          <c:invertIfNegative val="0"/>
          <c:dLbls>
            <c:dLbl>
              <c:idx val="0"/>
              <c:tx>
                <c:rich>
                  <a:bodyPr/>
                  <a:lstStyle/>
                  <a:p>
                    <a:fld id="{2CD64C17-9960-4BBF-B6DE-8BA4EC34D7BD}" type="CELLRANGE">
                      <a:rPr lang="en-US"/>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4A7-4BC0-AD4D-864AE5611B39}"/>
                </c:ext>
              </c:extLst>
            </c:dLbl>
            <c:dLbl>
              <c:idx val="1"/>
              <c:tx>
                <c:rich>
                  <a:bodyPr/>
                  <a:lstStyle/>
                  <a:p>
                    <a:fld id="{FD1C1C90-DF40-440E-93B1-7BC9213064B8}" type="CELLRANGE">
                      <a:rPr lang="en-US"/>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4A7-4BC0-AD4D-864AE5611B39}"/>
                </c:ext>
              </c:extLst>
            </c:dLbl>
            <c:spPr>
              <a:noFill/>
              <a:ln>
                <a:noFill/>
              </a:ln>
              <a:effectLst/>
            </c:spPr>
            <c:txPr>
              <a:bodyPr rot="0" spcFirstLastPara="1" vertOverflow="ellipsis" vert="horz" wrap="non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cat>
            <c:strRef>
              <c:f>'Pivot Report'!$C$43:$C$44</c:f>
              <c:strCache>
                <c:ptCount val="2"/>
                <c:pt idx="0">
                  <c:v>Admitted</c:v>
                </c:pt>
                <c:pt idx="1">
                  <c:v>Not admitted</c:v>
                </c:pt>
              </c:strCache>
            </c:strRef>
          </c:cat>
          <c:val>
            <c:numRef>
              <c:f>'Pivot Report'!$C$43:$C$44</c:f>
              <c:numCache>
                <c:formatCode>0.00</c:formatCode>
                <c:ptCount val="2"/>
                <c:pt idx="0">
                  <c:v>237</c:v>
                </c:pt>
                <c:pt idx="1">
                  <c:v>242</c:v>
                </c:pt>
              </c:numCache>
            </c:numRef>
          </c:val>
          <c:extLst>
            <c:ext xmlns:c15="http://schemas.microsoft.com/office/drawing/2012/chart" uri="{02D57815-91ED-43cb-92C2-25804820EDAC}">
              <c15:datalabelsRange>
                <c15:f>'Pivot Report'!$C$43:$C$44</c15:f>
                <c15:dlblRangeCache>
                  <c:ptCount val="2"/>
                  <c:pt idx="0">
                    <c:v>49.48%</c:v>
                  </c:pt>
                  <c:pt idx="1">
                    <c:v>50.52%</c:v>
                  </c:pt>
                </c15:dlblRangeCache>
              </c15:datalabelsRange>
            </c:ext>
            <c:ext xmlns:c16="http://schemas.microsoft.com/office/drawing/2014/chart" uri="{C3380CC4-5D6E-409C-BE32-E72D297353CC}">
              <c16:uniqueId val="{00000000-74A7-4BC0-AD4D-864AE5611B39}"/>
            </c:ext>
          </c:extLst>
        </c:ser>
        <c:ser>
          <c:idx val="1"/>
          <c:order val="1"/>
          <c:tx>
            <c:strRef>
              <c:f>'Pivot Report'!$C$43:$C$44</c:f>
              <c:strCache>
                <c:ptCount val="1"/>
                <c:pt idx="0">
                  <c:v>Count of Patient Admission Flag2</c:v>
                </c:pt>
              </c:strCache>
            </c:strRef>
          </c:tx>
          <c:spPr>
            <a:solidFill>
              <a:schemeClr val="accent2"/>
            </a:solidFill>
            <a:ln>
              <a:noFill/>
            </a:ln>
            <a:effectLst/>
          </c:spPr>
          <c:invertIfNegative val="0"/>
          <c:cat>
            <c:strRef>
              <c:f>'Pivot Report'!$C$43:$C$44</c:f>
              <c:strCache>
                <c:ptCount val="2"/>
                <c:pt idx="0">
                  <c:v>Admitted</c:v>
                </c:pt>
                <c:pt idx="1">
                  <c:v>Not admitted</c:v>
                </c:pt>
              </c:strCache>
            </c:strRef>
          </c:cat>
          <c:val>
            <c:numRef>
              <c:f>'Pivot Report'!$C$43:$C$44</c:f>
              <c:numCache>
                <c:formatCode>0.00%</c:formatCode>
                <c:ptCount val="2"/>
                <c:pt idx="0">
                  <c:v>0.49478079331941544</c:v>
                </c:pt>
                <c:pt idx="1">
                  <c:v>0.50521920668058451</c:v>
                </c:pt>
              </c:numCache>
            </c:numRef>
          </c:val>
          <c:extLst>
            <c:ext xmlns:c16="http://schemas.microsoft.com/office/drawing/2014/chart" uri="{C3380CC4-5D6E-409C-BE32-E72D297353CC}">
              <c16:uniqueId val="{00000001-74A7-4BC0-AD4D-864AE5611B39}"/>
            </c:ext>
          </c:extLst>
        </c:ser>
        <c:dLbls>
          <c:showLegendKey val="0"/>
          <c:showVal val="0"/>
          <c:showCatName val="0"/>
          <c:showSerName val="0"/>
          <c:showPercent val="0"/>
          <c:showBubbleSize val="0"/>
        </c:dLbls>
        <c:gapWidth val="32"/>
        <c:overlap val="12"/>
        <c:axId val="1299666031"/>
        <c:axId val="1088732239"/>
      </c:barChart>
      <c:catAx>
        <c:axId val="1299666031"/>
        <c:scaling>
          <c:orientation val="minMax"/>
        </c:scaling>
        <c:delete val="1"/>
        <c:axPos val="l"/>
        <c:numFmt formatCode="General" sourceLinked="1"/>
        <c:majorTickMark val="none"/>
        <c:minorTickMark val="none"/>
        <c:tickLblPos val="nextTo"/>
        <c:crossAx val="1088732239"/>
        <c:crosses val="autoZero"/>
        <c:auto val="1"/>
        <c:lblAlgn val="ctr"/>
        <c:lblOffset val="100"/>
        <c:noMultiLvlLbl val="0"/>
      </c:catAx>
      <c:valAx>
        <c:axId val="1088732239"/>
        <c:scaling>
          <c:orientation val="minMax"/>
        </c:scaling>
        <c:delete val="1"/>
        <c:axPos val="b"/>
        <c:numFmt formatCode="0.00" sourceLinked="1"/>
        <c:majorTickMark val="none"/>
        <c:minorTickMark val="none"/>
        <c:tickLblPos val="nextTo"/>
        <c:crossAx val="1299666031"/>
        <c:crosses val="autoZero"/>
        <c:crossBetween val="between"/>
      </c:valAx>
      <c:spPr>
        <a:noFill/>
        <a:ln>
          <a:noFill/>
        </a:ln>
        <a:effectLst>
          <a:softEdge rad="0"/>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[Hospital.xlsm]Pivot Report!PivotTable11</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Report'!$B$79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Report'!$A$80:$A$88</c:f>
              <c:strCache>
                <c:ptCount val="8"/>
                <c:pt idx="0">
                  <c:v>Renal</c:v>
                </c:pt>
                <c:pt idx="1">
                  <c:v>Neurology</c:v>
                </c:pt>
                <c:pt idx="2">
                  <c:v>Physiotherapy</c:v>
                </c:pt>
                <c:pt idx="3">
                  <c:v>Gastroenterology</c:v>
                </c:pt>
                <c:pt idx="4">
                  <c:v>Cardiology</c:v>
                </c:pt>
                <c:pt idx="5">
                  <c:v>Orthopedics</c:v>
                </c:pt>
                <c:pt idx="6">
                  <c:v>General Practice</c:v>
                </c:pt>
                <c:pt idx="7">
                  <c:v>None</c:v>
                </c:pt>
              </c:strCache>
            </c:strRef>
          </c:cat>
          <c:val>
            <c:numRef>
              <c:f>'Pivot Report'!$B$80:$B$88</c:f>
              <c:numCache>
                <c:formatCode>0</c:formatCode>
                <c:ptCount val="8"/>
                <c:pt idx="0">
                  <c:v>4</c:v>
                </c:pt>
                <c:pt idx="1">
                  <c:v>11</c:v>
                </c:pt>
                <c:pt idx="2">
                  <c:v>11</c:v>
                </c:pt>
                <c:pt idx="3">
                  <c:v>12</c:v>
                </c:pt>
                <c:pt idx="4">
                  <c:v>18</c:v>
                </c:pt>
                <c:pt idx="5">
                  <c:v>45</c:v>
                </c:pt>
                <c:pt idx="6">
                  <c:v>115</c:v>
                </c:pt>
                <c:pt idx="7">
                  <c:v>263</c:v>
                </c:pt>
              </c:numCache>
            </c:numRef>
          </c:val>
          <c:extLst>
            <c:ext xmlns:c16="http://schemas.microsoft.com/office/drawing/2014/chart" uri="{C3380CC4-5D6E-409C-BE32-E72D297353CC}">
              <c16:uniqueId val="{00000000-0D2B-41E3-B0C7-1FBD5062F2CA}"/>
            </c:ext>
          </c:extLst>
        </c:ser>
        <c:dLbls>
          <c:showLegendKey val="0"/>
          <c:showVal val="0"/>
          <c:showCatName val="0"/>
          <c:showSerName val="0"/>
          <c:showPercent val="0"/>
          <c:showBubbleSize val="0"/>
        </c:dLbls>
        <c:gapWidth val="182"/>
        <c:axId val="1299793631"/>
        <c:axId val="750566511"/>
      </c:barChart>
      <c:catAx>
        <c:axId val="12997936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566511"/>
        <c:crosses val="autoZero"/>
        <c:auto val="1"/>
        <c:lblAlgn val="ctr"/>
        <c:lblOffset val="100"/>
        <c:noMultiLvlLbl val="0"/>
      </c:catAx>
      <c:valAx>
        <c:axId val="750566511"/>
        <c:scaling>
          <c:orientation val="minMax"/>
        </c:scaling>
        <c:delete val="1"/>
        <c:axPos val="b"/>
        <c:numFmt formatCode="0" sourceLinked="1"/>
        <c:majorTickMark val="none"/>
        <c:minorTickMark val="none"/>
        <c:tickLblPos val="nextTo"/>
        <c:crossAx val="1299793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[Hospital.xlsm]Pivot Report!PivotTable4</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176887714646679"/>
          <c:y val="0"/>
          <c:w val="0.82555018786902845"/>
          <c:h val="1"/>
        </c:manualLayout>
      </c:layout>
      <c:areaChart>
        <c:grouping val="standard"/>
        <c:varyColors val="0"/>
        <c:ser>
          <c:idx val="0"/>
          <c:order val="0"/>
          <c:tx>
            <c:strRef>
              <c:f>'Pivot Report'!$E$3</c:f>
              <c:strCache>
                <c:ptCount val="1"/>
                <c:pt idx="0">
                  <c:v>Total</c:v>
                </c:pt>
              </c:strCache>
            </c:strRef>
          </c:tx>
          <c:spPr>
            <a:solidFill>
              <a:schemeClr val="accent1"/>
            </a:solidFill>
            <a:ln>
              <a:noFill/>
            </a:ln>
            <a:effectLst/>
          </c:spPr>
          <c:cat>
            <c:strRef>
              <c:f>'Pivot Report'!$D$4:$D$34</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Report'!$E$4:$E$34</c:f>
              <c:numCache>
                <c:formatCode>General</c:formatCode>
                <c:ptCount val="30"/>
                <c:pt idx="0">
                  <c:v>19</c:v>
                </c:pt>
                <c:pt idx="1">
                  <c:v>13</c:v>
                </c:pt>
                <c:pt idx="2">
                  <c:v>14</c:v>
                </c:pt>
                <c:pt idx="3">
                  <c:v>9</c:v>
                </c:pt>
                <c:pt idx="4">
                  <c:v>19</c:v>
                </c:pt>
                <c:pt idx="5">
                  <c:v>14</c:v>
                </c:pt>
                <c:pt idx="6">
                  <c:v>11</c:v>
                </c:pt>
                <c:pt idx="7">
                  <c:v>22</c:v>
                </c:pt>
                <c:pt idx="8">
                  <c:v>12</c:v>
                </c:pt>
                <c:pt idx="9">
                  <c:v>13</c:v>
                </c:pt>
                <c:pt idx="10">
                  <c:v>17</c:v>
                </c:pt>
                <c:pt idx="11">
                  <c:v>30</c:v>
                </c:pt>
                <c:pt idx="12">
                  <c:v>13</c:v>
                </c:pt>
                <c:pt idx="13">
                  <c:v>21</c:v>
                </c:pt>
                <c:pt idx="14">
                  <c:v>12</c:v>
                </c:pt>
                <c:pt idx="15">
                  <c:v>17</c:v>
                </c:pt>
                <c:pt idx="16">
                  <c:v>16</c:v>
                </c:pt>
                <c:pt idx="17">
                  <c:v>20</c:v>
                </c:pt>
                <c:pt idx="18">
                  <c:v>18</c:v>
                </c:pt>
                <c:pt idx="19">
                  <c:v>16</c:v>
                </c:pt>
                <c:pt idx="20">
                  <c:v>15</c:v>
                </c:pt>
                <c:pt idx="21">
                  <c:v>18</c:v>
                </c:pt>
                <c:pt idx="22">
                  <c:v>12</c:v>
                </c:pt>
                <c:pt idx="23">
                  <c:v>14</c:v>
                </c:pt>
                <c:pt idx="24">
                  <c:v>18</c:v>
                </c:pt>
                <c:pt idx="25">
                  <c:v>16</c:v>
                </c:pt>
                <c:pt idx="26">
                  <c:v>16</c:v>
                </c:pt>
                <c:pt idx="27">
                  <c:v>16</c:v>
                </c:pt>
                <c:pt idx="28">
                  <c:v>14</c:v>
                </c:pt>
                <c:pt idx="29">
                  <c:v>14</c:v>
                </c:pt>
              </c:numCache>
            </c:numRef>
          </c:val>
          <c:extLst>
            <c:ext xmlns:c16="http://schemas.microsoft.com/office/drawing/2014/chart" uri="{C3380CC4-5D6E-409C-BE32-E72D297353CC}">
              <c16:uniqueId val="{00000000-E6F3-4AB0-84CD-57C815A5AA21}"/>
            </c:ext>
          </c:extLst>
        </c:ser>
        <c:dLbls>
          <c:showLegendKey val="0"/>
          <c:showVal val="0"/>
          <c:showCatName val="0"/>
          <c:showSerName val="0"/>
          <c:showPercent val="0"/>
          <c:showBubbleSize val="0"/>
        </c:dLbls>
        <c:axId val="44357135"/>
        <c:axId val="2021977104"/>
      </c:areaChart>
      <c:catAx>
        <c:axId val="44357135"/>
        <c:scaling>
          <c:orientation val="minMax"/>
        </c:scaling>
        <c:delete val="1"/>
        <c:axPos val="b"/>
        <c:numFmt formatCode="General" sourceLinked="1"/>
        <c:majorTickMark val="out"/>
        <c:minorTickMark val="none"/>
        <c:tickLblPos val="nextTo"/>
        <c:crossAx val="2021977104"/>
        <c:crosses val="autoZero"/>
        <c:auto val="1"/>
        <c:lblAlgn val="ctr"/>
        <c:lblOffset val="100"/>
        <c:noMultiLvlLbl val="0"/>
      </c:catAx>
      <c:valAx>
        <c:axId val="2021977104"/>
        <c:scaling>
          <c:orientation val="minMax"/>
        </c:scaling>
        <c:delete val="1"/>
        <c:axPos val="l"/>
        <c:numFmt formatCode="General" sourceLinked="1"/>
        <c:majorTickMark val="none"/>
        <c:minorTickMark val="none"/>
        <c:tickLblPos val="nextTo"/>
        <c:crossAx val="4435713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[Hospital.xlsm]Pivot Report!PivotTable5</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Report'!$K$3</c:f>
              <c:strCache>
                <c:ptCount val="1"/>
                <c:pt idx="0">
                  <c:v>Total</c:v>
                </c:pt>
              </c:strCache>
            </c:strRef>
          </c:tx>
          <c:spPr>
            <a:solidFill>
              <a:schemeClr val="accent1"/>
            </a:solidFill>
            <a:ln>
              <a:noFill/>
            </a:ln>
            <a:effectLst/>
          </c:spPr>
          <c:cat>
            <c:strRef>
              <c:f>'Pivot Report'!$J$4:$J$34</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Report'!$K$4:$K$34</c:f>
              <c:numCache>
                <c:formatCode>0.00</c:formatCode>
                <c:ptCount val="30"/>
                <c:pt idx="0">
                  <c:v>40.473684210526315</c:v>
                </c:pt>
                <c:pt idx="1">
                  <c:v>29.46153846153846</c:v>
                </c:pt>
                <c:pt idx="2">
                  <c:v>33.928571428571431</c:v>
                </c:pt>
                <c:pt idx="3">
                  <c:v>32.222222222222221</c:v>
                </c:pt>
                <c:pt idx="4">
                  <c:v>35.736842105263158</c:v>
                </c:pt>
                <c:pt idx="5">
                  <c:v>30.142857142857142</c:v>
                </c:pt>
                <c:pt idx="6">
                  <c:v>33.81818181818182</c:v>
                </c:pt>
                <c:pt idx="7">
                  <c:v>31.681818181818183</c:v>
                </c:pt>
                <c:pt idx="8">
                  <c:v>36.416666666666664</c:v>
                </c:pt>
                <c:pt idx="9">
                  <c:v>33.692307692307693</c:v>
                </c:pt>
                <c:pt idx="10">
                  <c:v>39.117647058823529</c:v>
                </c:pt>
                <c:pt idx="11">
                  <c:v>36.93333333333333</c:v>
                </c:pt>
                <c:pt idx="12">
                  <c:v>29.923076923076923</c:v>
                </c:pt>
                <c:pt idx="13">
                  <c:v>31.666666666666668</c:v>
                </c:pt>
                <c:pt idx="14">
                  <c:v>40.25</c:v>
                </c:pt>
                <c:pt idx="15">
                  <c:v>30</c:v>
                </c:pt>
                <c:pt idx="16">
                  <c:v>35</c:v>
                </c:pt>
                <c:pt idx="17">
                  <c:v>41.85</c:v>
                </c:pt>
                <c:pt idx="18">
                  <c:v>33.277777777777779</c:v>
                </c:pt>
                <c:pt idx="19">
                  <c:v>32.9375</c:v>
                </c:pt>
                <c:pt idx="20">
                  <c:v>33.266666666666666</c:v>
                </c:pt>
                <c:pt idx="21">
                  <c:v>34.444444444444443</c:v>
                </c:pt>
                <c:pt idx="22">
                  <c:v>43.416666666666664</c:v>
                </c:pt>
                <c:pt idx="23">
                  <c:v>36.357142857142854</c:v>
                </c:pt>
                <c:pt idx="24">
                  <c:v>40.611111111111114</c:v>
                </c:pt>
                <c:pt idx="25">
                  <c:v>29.875</c:v>
                </c:pt>
                <c:pt idx="26">
                  <c:v>33.5</c:v>
                </c:pt>
                <c:pt idx="27">
                  <c:v>32.5625</c:v>
                </c:pt>
                <c:pt idx="28">
                  <c:v>38.571428571428569</c:v>
                </c:pt>
                <c:pt idx="29">
                  <c:v>32.714285714285715</c:v>
                </c:pt>
              </c:numCache>
            </c:numRef>
          </c:val>
          <c:extLst>
            <c:ext xmlns:c16="http://schemas.microsoft.com/office/drawing/2014/chart" uri="{C3380CC4-5D6E-409C-BE32-E72D297353CC}">
              <c16:uniqueId val="{00000000-EA16-414D-B510-0B7A938DFB6D}"/>
            </c:ext>
          </c:extLst>
        </c:ser>
        <c:dLbls>
          <c:showLegendKey val="0"/>
          <c:showVal val="0"/>
          <c:showCatName val="0"/>
          <c:showSerName val="0"/>
          <c:showPercent val="0"/>
          <c:showBubbleSize val="0"/>
        </c:dLbls>
        <c:axId val="637131631"/>
        <c:axId val="750549231"/>
      </c:areaChart>
      <c:catAx>
        <c:axId val="637131631"/>
        <c:scaling>
          <c:orientation val="minMax"/>
        </c:scaling>
        <c:delete val="1"/>
        <c:axPos val="b"/>
        <c:numFmt formatCode="General" sourceLinked="1"/>
        <c:majorTickMark val="out"/>
        <c:minorTickMark val="none"/>
        <c:tickLblPos val="nextTo"/>
        <c:crossAx val="750549231"/>
        <c:crosses val="autoZero"/>
        <c:auto val="1"/>
        <c:lblAlgn val="ctr"/>
        <c:lblOffset val="100"/>
        <c:noMultiLvlLbl val="0"/>
      </c:catAx>
      <c:valAx>
        <c:axId val="750549231"/>
        <c:scaling>
          <c:orientation val="minMax"/>
        </c:scaling>
        <c:delete val="1"/>
        <c:axPos val="l"/>
        <c:numFmt formatCode="0.00" sourceLinked="1"/>
        <c:majorTickMark val="none"/>
        <c:minorTickMark val="none"/>
        <c:tickLblPos val="nextTo"/>
        <c:crossAx val="63713163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[Hospital.xlsm]Pivot Report!PivotTable6</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977688531905396E-3"/>
          <c:y val="6.3754545454545467E-2"/>
          <c:w val="0.93888888888888888"/>
          <c:h val="0.89814814814814814"/>
        </c:manualLayout>
      </c:layout>
      <c:areaChart>
        <c:grouping val="standard"/>
        <c:varyColors val="0"/>
        <c:ser>
          <c:idx val="0"/>
          <c:order val="0"/>
          <c:tx>
            <c:strRef>
              <c:f>'Pivot Report'!$N$3</c:f>
              <c:strCache>
                <c:ptCount val="1"/>
                <c:pt idx="0">
                  <c:v>Total</c:v>
                </c:pt>
              </c:strCache>
            </c:strRef>
          </c:tx>
          <c:spPr>
            <a:solidFill>
              <a:schemeClr val="accent1"/>
            </a:solidFill>
            <a:ln>
              <a:noFill/>
            </a:ln>
            <a:effectLst/>
          </c:spPr>
          <c:cat>
            <c:strRef>
              <c:f>'Pivot Report'!$M$4:$M$34</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Report'!$N$4:$N$34</c:f>
              <c:numCache>
                <c:formatCode>0.00</c:formatCode>
                <c:ptCount val="30"/>
                <c:pt idx="0">
                  <c:v>3.8</c:v>
                </c:pt>
                <c:pt idx="1">
                  <c:v>7.75</c:v>
                </c:pt>
                <c:pt idx="2">
                  <c:v>4.5999999999999996</c:v>
                </c:pt>
                <c:pt idx="3">
                  <c:v>6</c:v>
                </c:pt>
                <c:pt idx="4">
                  <c:v>5.5714285714285712</c:v>
                </c:pt>
                <c:pt idx="5">
                  <c:v>2</c:v>
                </c:pt>
                <c:pt idx="6">
                  <c:v>8</c:v>
                </c:pt>
                <c:pt idx="7">
                  <c:v>8</c:v>
                </c:pt>
                <c:pt idx="8">
                  <c:v>5.25</c:v>
                </c:pt>
                <c:pt idx="9">
                  <c:v>6</c:v>
                </c:pt>
                <c:pt idx="10">
                  <c:v>6.5</c:v>
                </c:pt>
                <c:pt idx="11">
                  <c:v>5.75</c:v>
                </c:pt>
                <c:pt idx="12">
                  <c:v>5.6</c:v>
                </c:pt>
                <c:pt idx="13">
                  <c:v>6.5</c:v>
                </c:pt>
                <c:pt idx="14">
                  <c:v>5.666666666666667</c:v>
                </c:pt>
                <c:pt idx="15">
                  <c:v>5.666666666666667</c:v>
                </c:pt>
                <c:pt idx="16">
                  <c:v>5.8</c:v>
                </c:pt>
                <c:pt idx="17">
                  <c:v>4.666666666666667</c:v>
                </c:pt>
                <c:pt idx="18">
                  <c:v>4.833333333333333</c:v>
                </c:pt>
                <c:pt idx="19">
                  <c:v>2.3333333333333335</c:v>
                </c:pt>
                <c:pt idx="20">
                  <c:v>4.5</c:v>
                </c:pt>
                <c:pt idx="21">
                  <c:v>6.666666666666667</c:v>
                </c:pt>
                <c:pt idx="22">
                  <c:v>7.5</c:v>
                </c:pt>
                <c:pt idx="23">
                  <c:v>5.2857142857142856</c:v>
                </c:pt>
                <c:pt idx="24">
                  <c:v>2.875</c:v>
                </c:pt>
                <c:pt idx="25">
                  <c:v>6.25</c:v>
                </c:pt>
                <c:pt idx="26">
                  <c:v>6.125</c:v>
                </c:pt>
                <c:pt idx="27">
                  <c:v>5.75</c:v>
                </c:pt>
                <c:pt idx="28">
                  <c:v>5.375</c:v>
                </c:pt>
                <c:pt idx="29">
                  <c:v>5.6</c:v>
                </c:pt>
              </c:numCache>
            </c:numRef>
          </c:val>
          <c:extLst>
            <c:ext xmlns:c16="http://schemas.microsoft.com/office/drawing/2014/chart" uri="{C3380CC4-5D6E-409C-BE32-E72D297353CC}">
              <c16:uniqueId val="{00000000-12E6-4617-9F69-C4FCA2239349}"/>
            </c:ext>
          </c:extLst>
        </c:ser>
        <c:dLbls>
          <c:showLegendKey val="0"/>
          <c:showVal val="0"/>
          <c:showCatName val="0"/>
          <c:showSerName val="0"/>
          <c:showPercent val="0"/>
          <c:showBubbleSize val="0"/>
        </c:dLbls>
        <c:axId val="606447759"/>
        <c:axId val="750554511"/>
      </c:areaChart>
      <c:catAx>
        <c:axId val="606447759"/>
        <c:scaling>
          <c:orientation val="minMax"/>
        </c:scaling>
        <c:delete val="1"/>
        <c:axPos val="b"/>
        <c:numFmt formatCode="General" sourceLinked="1"/>
        <c:majorTickMark val="out"/>
        <c:minorTickMark val="none"/>
        <c:tickLblPos val="nextTo"/>
        <c:crossAx val="750554511"/>
        <c:crosses val="autoZero"/>
        <c:auto val="1"/>
        <c:lblAlgn val="ctr"/>
        <c:lblOffset val="100"/>
        <c:noMultiLvlLbl val="0"/>
      </c:catAx>
      <c:valAx>
        <c:axId val="750554511"/>
        <c:scaling>
          <c:orientation val="minMax"/>
        </c:scaling>
        <c:delete val="1"/>
        <c:axPos val="l"/>
        <c:numFmt formatCode="0.00" sourceLinked="1"/>
        <c:majorTickMark val="none"/>
        <c:minorTickMark val="none"/>
        <c:tickLblPos val="nextTo"/>
        <c:crossAx val="60644775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[Hospital.xlsm]Pivot Report!PivotTable8</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Report'!$B$52</c:f>
              <c:strCache>
                <c:ptCount val="1"/>
                <c:pt idx="0">
                  <c:v>Total</c:v>
                </c:pt>
              </c:strCache>
            </c:strRef>
          </c:tx>
          <c:spPr>
            <a:solidFill>
              <a:schemeClr val="accent1"/>
            </a:solidFill>
            <a:ln>
              <a:noFill/>
            </a:ln>
            <a:effectLst/>
          </c:spPr>
          <c:invertIfNegative val="0"/>
          <c:cat>
            <c:strRef>
              <c:f>'Pivot Report'!$A$53:$A$61</c:f>
              <c:strCache>
                <c:ptCount val="8"/>
                <c:pt idx="0">
                  <c:v>0-9</c:v>
                </c:pt>
                <c:pt idx="1">
                  <c:v>10-19</c:v>
                </c:pt>
                <c:pt idx="2">
                  <c:v>20-29</c:v>
                </c:pt>
                <c:pt idx="3">
                  <c:v>30-39</c:v>
                </c:pt>
                <c:pt idx="4">
                  <c:v>40-49</c:v>
                </c:pt>
                <c:pt idx="5">
                  <c:v>50-59</c:v>
                </c:pt>
                <c:pt idx="6">
                  <c:v>60-69</c:v>
                </c:pt>
                <c:pt idx="7">
                  <c:v>70-79</c:v>
                </c:pt>
              </c:strCache>
            </c:strRef>
          </c:cat>
          <c:val>
            <c:numRef>
              <c:f>'Pivot Report'!$B$53:$B$61</c:f>
              <c:numCache>
                <c:formatCode>0</c:formatCode>
                <c:ptCount val="8"/>
                <c:pt idx="0">
                  <c:v>70</c:v>
                </c:pt>
                <c:pt idx="1">
                  <c:v>67</c:v>
                </c:pt>
                <c:pt idx="2">
                  <c:v>64</c:v>
                </c:pt>
                <c:pt idx="3">
                  <c:v>60</c:v>
                </c:pt>
                <c:pt idx="4">
                  <c:v>42</c:v>
                </c:pt>
                <c:pt idx="5">
                  <c:v>53</c:v>
                </c:pt>
                <c:pt idx="6">
                  <c:v>71</c:v>
                </c:pt>
                <c:pt idx="7">
                  <c:v>52</c:v>
                </c:pt>
              </c:numCache>
            </c:numRef>
          </c:val>
          <c:extLst>
            <c:ext xmlns:c16="http://schemas.microsoft.com/office/drawing/2014/chart" uri="{C3380CC4-5D6E-409C-BE32-E72D297353CC}">
              <c16:uniqueId val="{00000000-B965-4DF3-B4F7-ACEA23F6F547}"/>
            </c:ext>
          </c:extLst>
        </c:ser>
        <c:dLbls>
          <c:showLegendKey val="0"/>
          <c:showVal val="0"/>
          <c:showCatName val="0"/>
          <c:showSerName val="0"/>
          <c:showPercent val="0"/>
          <c:showBubbleSize val="0"/>
        </c:dLbls>
        <c:gapWidth val="219"/>
        <c:overlap val="-27"/>
        <c:axId val="991551727"/>
        <c:axId val="1088726959"/>
      </c:barChart>
      <c:catAx>
        <c:axId val="991551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726959"/>
        <c:crosses val="autoZero"/>
        <c:auto val="1"/>
        <c:lblAlgn val="ctr"/>
        <c:lblOffset val="100"/>
        <c:noMultiLvlLbl val="0"/>
      </c:catAx>
      <c:valAx>
        <c:axId val="1088726959"/>
        <c:scaling>
          <c:orientation val="minMax"/>
        </c:scaling>
        <c:delete val="1"/>
        <c:axPos val="l"/>
        <c:numFmt formatCode="0" sourceLinked="1"/>
        <c:majorTickMark val="none"/>
        <c:minorTickMark val="none"/>
        <c:tickLblPos val="nextTo"/>
        <c:crossAx val="991551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[Hospital.xlsm]Pivot Report!PivotTable9</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2"/>
          </a:solidFill>
          <a:ln>
            <a:noFill/>
          </a:ln>
          <a:effectLst>
            <a:outerShdw blurRad="317500" algn="ctr" rotWithShape="0">
              <a:prstClr val="black">
                <a:alpha val="25000"/>
              </a:prstClr>
            </a:outerShdw>
          </a:effectLst>
        </c:spPr>
      </c:pivotFmt>
    </c:pivotFmts>
    <c:plotArea>
      <c:layout>
        <c:manualLayout>
          <c:layoutTarget val="inner"/>
          <c:xMode val="edge"/>
          <c:yMode val="edge"/>
          <c:x val="0.14410087617042558"/>
          <c:y val="0.16138258452987495"/>
          <c:w val="0.64959314955706027"/>
          <c:h val="0.78506947660954141"/>
        </c:manualLayout>
      </c:layout>
      <c:pieChart>
        <c:varyColors val="1"/>
        <c:ser>
          <c:idx val="0"/>
          <c:order val="0"/>
          <c:tx>
            <c:strRef>
              <c:f>'Pivot Report'!$B$66</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7634-4D56-974E-9CBC05D3770B}"/>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634-4D56-974E-9CBC05D3770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Report'!$A$67:$A$69</c:f>
              <c:strCache>
                <c:ptCount val="2"/>
                <c:pt idx="0">
                  <c:v>Delay</c:v>
                </c:pt>
                <c:pt idx="1">
                  <c:v>Ontime</c:v>
                </c:pt>
              </c:strCache>
            </c:strRef>
          </c:cat>
          <c:val>
            <c:numRef>
              <c:f>'Pivot Report'!$B$67:$B$69</c:f>
              <c:numCache>
                <c:formatCode>0</c:formatCode>
                <c:ptCount val="2"/>
                <c:pt idx="0">
                  <c:v>287</c:v>
                </c:pt>
                <c:pt idx="1">
                  <c:v>192</c:v>
                </c:pt>
              </c:numCache>
            </c:numRef>
          </c:val>
          <c:extLst>
            <c:ext xmlns:c16="http://schemas.microsoft.com/office/drawing/2014/chart" uri="{C3380CC4-5D6E-409C-BE32-E72D297353CC}">
              <c16:uniqueId val="{00000004-7634-4D56-974E-9CBC05D3770B}"/>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19571425742688095"/>
          <c:y val="4.3746775782019405E-4"/>
          <c:w val="0.65537190135433709"/>
          <c:h val="0.13167438628994904"/>
        </c:manualLayout>
      </c:layout>
      <c:overlay val="0"/>
      <c:spPr>
        <a:solidFill>
          <a:schemeClr val="bg2"/>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[Hospital.xlsm]Pivot Report!PivotTable10</c:name>
    <c:fmtId val="21"/>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8.7697029674569368E-2"/>
          <c:y val="0.11014682422316179"/>
          <c:w val="0.29125683060109292"/>
          <c:h val="0.31119961872595009"/>
        </c:manualLayout>
      </c:layout>
      <c:doughnutChart>
        <c:varyColors val="1"/>
        <c:ser>
          <c:idx val="0"/>
          <c:order val="0"/>
          <c:tx>
            <c:strRef>
              <c:f>'Pivot Report'!$B$73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89C-4CBE-9EEF-6C18606969D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89C-4CBE-9EEF-6C18606969D5}"/>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Report'!$A$74:$A$76</c:f>
              <c:strCache>
                <c:ptCount val="2"/>
                <c:pt idx="0">
                  <c:v>Female</c:v>
                </c:pt>
                <c:pt idx="1">
                  <c:v>Male</c:v>
                </c:pt>
              </c:strCache>
            </c:strRef>
          </c:cat>
          <c:val>
            <c:numRef>
              <c:f>'Pivot Report'!$B$74:$B$76</c:f>
              <c:numCache>
                <c:formatCode>0</c:formatCode>
                <c:ptCount val="2"/>
                <c:pt idx="0">
                  <c:v>235</c:v>
                </c:pt>
                <c:pt idx="1">
                  <c:v>244</c:v>
                </c:pt>
              </c:numCache>
            </c:numRef>
          </c:val>
          <c:extLst>
            <c:ext xmlns:c16="http://schemas.microsoft.com/office/drawing/2014/chart" uri="{C3380CC4-5D6E-409C-BE32-E72D297353CC}">
              <c16:uniqueId val="{00000004-689C-4CBE-9EEF-6C18606969D5}"/>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layout>
        <c:manualLayout>
          <c:xMode val="edge"/>
          <c:yMode val="edge"/>
          <c:x val="0"/>
          <c:y val="2.8288143878850477E-2"/>
          <c:w val="0.42651836553217731"/>
          <c:h val="6.9677165354330703E-2"/>
        </c:manualLayout>
      </c:layout>
      <c:overlay val="0"/>
      <c:spPr>
        <a:solidFill>
          <a:schemeClr val="bg2"/>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[Hospital.xlsm]Pivot Report!PivotTable11</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Report'!$B$79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Report'!$A$80:$A$88</c:f>
              <c:strCache>
                <c:ptCount val="8"/>
                <c:pt idx="0">
                  <c:v>Renal</c:v>
                </c:pt>
                <c:pt idx="1">
                  <c:v>Neurology</c:v>
                </c:pt>
                <c:pt idx="2">
                  <c:v>Physiotherapy</c:v>
                </c:pt>
                <c:pt idx="3">
                  <c:v>Gastroenterology</c:v>
                </c:pt>
                <c:pt idx="4">
                  <c:v>Cardiology</c:v>
                </c:pt>
                <c:pt idx="5">
                  <c:v>Orthopedics</c:v>
                </c:pt>
                <c:pt idx="6">
                  <c:v>General Practice</c:v>
                </c:pt>
                <c:pt idx="7">
                  <c:v>None</c:v>
                </c:pt>
              </c:strCache>
            </c:strRef>
          </c:cat>
          <c:val>
            <c:numRef>
              <c:f>'Pivot Report'!$B$80:$B$88</c:f>
              <c:numCache>
                <c:formatCode>0</c:formatCode>
                <c:ptCount val="8"/>
                <c:pt idx="0">
                  <c:v>4</c:v>
                </c:pt>
                <c:pt idx="1">
                  <c:v>11</c:v>
                </c:pt>
                <c:pt idx="2">
                  <c:v>11</c:v>
                </c:pt>
                <c:pt idx="3">
                  <c:v>12</c:v>
                </c:pt>
                <c:pt idx="4">
                  <c:v>18</c:v>
                </c:pt>
                <c:pt idx="5">
                  <c:v>45</c:v>
                </c:pt>
                <c:pt idx="6">
                  <c:v>115</c:v>
                </c:pt>
                <c:pt idx="7">
                  <c:v>263</c:v>
                </c:pt>
              </c:numCache>
            </c:numRef>
          </c:val>
          <c:extLst>
            <c:ext xmlns:c16="http://schemas.microsoft.com/office/drawing/2014/chart" uri="{C3380CC4-5D6E-409C-BE32-E72D297353CC}">
              <c16:uniqueId val="{00000000-6062-42CA-A8EB-4FCC3BFA60BF}"/>
            </c:ext>
          </c:extLst>
        </c:ser>
        <c:dLbls>
          <c:showLegendKey val="0"/>
          <c:showVal val="0"/>
          <c:showCatName val="0"/>
          <c:showSerName val="0"/>
          <c:showPercent val="0"/>
          <c:showBubbleSize val="0"/>
        </c:dLbls>
        <c:gapWidth val="182"/>
        <c:axId val="1299793631"/>
        <c:axId val="750566511"/>
      </c:barChart>
      <c:catAx>
        <c:axId val="12997936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566511"/>
        <c:crosses val="autoZero"/>
        <c:auto val="1"/>
        <c:lblAlgn val="ctr"/>
        <c:lblOffset val="100"/>
        <c:noMultiLvlLbl val="0"/>
      </c:catAx>
      <c:valAx>
        <c:axId val="750566511"/>
        <c:scaling>
          <c:orientation val="minMax"/>
        </c:scaling>
        <c:delete val="1"/>
        <c:axPos val="b"/>
        <c:numFmt formatCode="0" sourceLinked="1"/>
        <c:majorTickMark val="none"/>
        <c:minorTickMark val="none"/>
        <c:tickLblPos val="nextTo"/>
        <c:crossAx val="1299793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[Hospital.xlsm]Pivot Report!PivotTable6</c:name>
    <c:fmtId val="19"/>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Report'!$N$3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Report'!$M$4:$M$34</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Report'!$N$4:$N$34</c:f>
              <c:numCache>
                <c:formatCode>0.00</c:formatCode>
                <c:ptCount val="30"/>
                <c:pt idx="0">
                  <c:v>3.8</c:v>
                </c:pt>
                <c:pt idx="1">
                  <c:v>7.75</c:v>
                </c:pt>
                <c:pt idx="2">
                  <c:v>4.5999999999999996</c:v>
                </c:pt>
                <c:pt idx="3">
                  <c:v>6</c:v>
                </c:pt>
                <c:pt idx="4">
                  <c:v>5.5714285714285712</c:v>
                </c:pt>
                <c:pt idx="5">
                  <c:v>2</c:v>
                </c:pt>
                <c:pt idx="6">
                  <c:v>8</c:v>
                </c:pt>
                <c:pt idx="7">
                  <c:v>8</c:v>
                </c:pt>
                <c:pt idx="8">
                  <c:v>5.25</c:v>
                </c:pt>
                <c:pt idx="9">
                  <c:v>6</c:v>
                </c:pt>
                <c:pt idx="10">
                  <c:v>6.5</c:v>
                </c:pt>
                <c:pt idx="11">
                  <c:v>5.75</c:v>
                </c:pt>
                <c:pt idx="12">
                  <c:v>5.6</c:v>
                </c:pt>
                <c:pt idx="13">
                  <c:v>6.5</c:v>
                </c:pt>
                <c:pt idx="14">
                  <c:v>5.666666666666667</c:v>
                </c:pt>
                <c:pt idx="15">
                  <c:v>5.666666666666667</c:v>
                </c:pt>
                <c:pt idx="16">
                  <c:v>5.8</c:v>
                </c:pt>
                <c:pt idx="17">
                  <c:v>4.666666666666667</c:v>
                </c:pt>
                <c:pt idx="18">
                  <c:v>4.833333333333333</c:v>
                </c:pt>
                <c:pt idx="19">
                  <c:v>2.3333333333333335</c:v>
                </c:pt>
                <c:pt idx="20">
                  <c:v>4.5</c:v>
                </c:pt>
                <c:pt idx="21">
                  <c:v>6.666666666666667</c:v>
                </c:pt>
                <c:pt idx="22">
                  <c:v>7.5</c:v>
                </c:pt>
                <c:pt idx="23">
                  <c:v>5.2857142857142856</c:v>
                </c:pt>
                <c:pt idx="24">
                  <c:v>2.875</c:v>
                </c:pt>
                <c:pt idx="25">
                  <c:v>6.25</c:v>
                </c:pt>
                <c:pt idx="26">
                  <c:v>6.125</c:v>
                </c:pt>
                <c:pt idx="27">
                  <c:v>5.75</c:v>
                </c:pt>
                <c:pt idx="28">
                  <c:v>5.375</c:v>
                </c:pt>
                <c:pt idx="29">
                  <c:v>5.6</c:v>
                </c:pt>
              </c:numCache>
            </c:numRef>
          </c:val>
          <c:extLst>
            <c:ext xmlns:c16="http://schemas.microsoft.com/office/drawing/2014/chart" uri="{C3380CC4-5D6E-409C-BE32-E72D297353CC}">
              <c16:uniqueId val="{00000000-872D-4EEF-B007-08B03792F3AD}"/>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606447759"/>
        <c:axId val="750554511"/>
      </c:areaChart>
      <c:catAx>
        <c:axId val="60644775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50554511"/>
        <c:crosses val="autoZero"/>
        <c:auto val="1"/>
        <c:lblAlgn val="ctr"/>
        <c:lblOffset val="100"/>
        <c:noMultiLvlLbl val="0"/>
      </c:catAx>
      <c:valAx>
        <c:axId val="750554511"/>
        <c:scaling>
          <c:orientation val="minMax"/>
        </c:scaling>
        <c:delete val="1"/>
        <c:axPos val="l"/>
        <c:numFmt formatCode="0.00" sourceLinked="1"/>
        <c:majorTickMark val="out"/>
        <c:minorTickMark val="none"/>
        <c:tickLblPos val="nextTo"/>
        <c:crossAx val="60644775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[Hospital.xlsm]Pivot Report!PivotTable5</c:name>
    <c:fmtId val="1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Report'!$K$3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Report'!$J$4:$J$34</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Report'!$K$4:$K$34</c:f>
              <c:numCache>
                <c:formatCode>0.00</c:formatCode>
                <c:ptCount val="30"/>
                <c:pt idx="0">
                  <c:v>40.473684210526315</c:v>
                </c:pt>
                <c:pt idx="1">
                  <c:v>29.46153846153846</c:v>
                </c:pt>
                <c:pt idx="2">
                  <c:v>33.928571428571431</c:v>
                </c:pt>
                <c:pt idx="3">
                  <c:v>32.222222222222221</c:v>
                </c:pt>
                <c:pt idx="4">
                  <c:v>35.736842105263158</c:v>
                </c:pt>
                <c:pt idx="5">
                  <c:v>30.142857142857142</c:v>
                </c:pt>
                <c:pt idx="6">
                  <c:v>33.81818181818182</c:v>
                </c:pt>
                <c:pt idx="7">
                  <c:v>31.681818181818183</c:v>
                </c:pt>
                <c:pt idx="8">
                  <c:v>36.416666666666664</c:v>
                </c:pt>
                <c:pt idx="9">
                  <c:v>33.692307692307693</c:v>
                </c:pt>
                <c:pt idx="10">
                  <c:v>39.117647058823529</c:v>
                </c:pt>
                <c:pt idx="11">
                  <c:v>36.93333333333333</c:v>
                </c:pt>
                <c:pt idx="12">
                  <c:v>29.923076923076923</c:v>
                </c:pt>
                <c:pt idx="13">
                  <c:v>31.666666666666668</c:v>
                </c:pt>
                <c:pt idx="14">
                  <c:v>40.25</c:v>
                </c:pt>
                <c:pt idx="15">
                  <c:v>30</c:v>
                </c:pt>
                <c:pt idx="16">
                  <c:v>35</c:v>
                </c:pt>
                <c:pt idx="17">
                  <c:v>41.85</c:v>
                </c:pt>
                <c:pt idx="18">
                  <c:v>33.277777777777779</c:v>
                </c:pt>
                <c:pt idx="19">
                  <c:v>32.9375</c:v>
                </c:pt>
                <c:pt idx="20">
                  <c:v>33.266666666666666</c:v>
                </c:pt>
                <c:pt idx="21">
                  <c:v>34.444444444444443</c:v>
                </c:pt>
                <c:pt idx="22">
                  <c:v>43.416666666666664</c:v>
                </c:pt>
                <c:pt idx="23">
                  <c:v>36.357142857142854</c:v>
                </c:pt>
                <c:pt idx="24">
                  <c:v>40.611111111111114</c:v>
                </c:pt>
                <c:pt idx="25">
                  <c:v>29.875</c:v>
                </c:pt>
                <c:pt idx="26">
                  <c:v>33.5</c:v>
                </c:pt>
                <c:pt idx="27">
                  <c:v>32.5625</c:v>
                </c:pt>
                <c:pt idx="28">
                  <c:v>38.571428571428569</c:v>
                </c:pt>
                <c:pt idx="29">
                  <c:v>32.714285714285715</c:v>
                </c:pt>
              </c:numCache>
            </c:numRef>
          </c:val>
          <c:extLst>
            <c:ext xmlns:c16="http://schemas.microsoft.com/office/drawing/2014/chart" uri="{C3380CC4-5D6E-409C-BE32-E72D297353CC}">
              <c16:uniqueId val="{00000000-F4F1-4AD8-A09A-FDBC8949636F}"/>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637131631"/>
        <c:axId val="750549231"/>
      </c:areaChart>
      <c:catAx>
        <c:axId val="637131631"/>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50549231"/>
        <c:crosses val="autoZero"/>
        <c:auto val="1"/>
        <c:lblAlgn val="ctr"/>
        <c:lblOffset val="100"/>
        <c:noMultiLvlLbl val="0"/>
      </c:catAx>
      <c:valAx>
        <c:axId val="750549231"/>
        <c:scaling>
          <c:orientation val="minMax"/>
        </c:scaling>
        <c:delete val="1"/>
        <c:axPos val="l"/>
        <c:numFmt formatCode="0.00" sourceLinked="1"/>
        <c:majorTickMark val="out"/>
        <c:minorTickMark val="none"/>
        <c:tickLblPos val="nextTo"/>
        <c:crossAx val="63713163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[Hospital.xlsm]Pivot Report!PivotTable4</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780839895013126E-2"/>
          <c:y val="5.0925925925925923E-2"/>
          <c:w val="0.92472368037328667"/>
          <c:h val="0.76811643336249635"/>
        </c:manualLayout>
      </c:layout>
      <c:areaChart>
        <c:grouping val="standard"/>
        <c:varyColors val="0"/>
        <c:ser>
          <c:idx val="0"/>
          <c:order val="0"/>
          <c:tx>
            <c:strRef>
              <c:f>'Pivot Report'!$E$3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Report'!$D$4:$D$34</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Report'!$E$4:$E$34</c:f>
              <c:numCache>
                <c:formatCode>General</c:formatCode>
                <c:ptCount val="30"/>
                <c:pt idx="0">
                  <c:v>19</c:v>
                </c:pt>
                <c:pt idx="1">
                  <c:v>13</c:v>
                </c:pt>
                <c:pt idx="2">
                  <c:v>14</c:v>
                </c:pt>
                <c:pt idx="3">
                  <c:v>9</c:v>
                </c:pt>
                <c:pt idx="4">
                  <c:v>19</c:v>
                </c:pt>
                <c:pt idx="5">
                  <c:v>14</c:v>
                </c:pt>
                <c:pt idx="6">
                  <c:v>11</c:v>
                </c:pt>
                <c:pt idx="7">
                  <c:v>22</c:v>
                </c:pt>
                <c:pt idx="8">
                  <c:v>12</c:v>
                </c:pt>
                <c:pt idx="9">
                  <c:v>13</c:v>
                </c:pt>
                <c:pt idx="10">
                  <c:v>17</c:v>
                </c:pt>
                <c:pt idx="11">
                  <c:v>30</c:v>
                </c:pt>
                <c:pt idx="12">
                  <c:v>13</c:v>
                </c:pt>
                <c:pt idx="13">
                  <c:v>21</c:v>
                </c:pt>
                <c:pt idx="14">
                  <c:v>12</c:v>
                </c:pt>
                <c:pt idx="15">
                  <c:v>17</c:v>
                </c:pt>
                <c:pt idx="16">
                  <c:v>16</c:v>
                </c:pt>
                <c:pt idx="17">
                  <c:v>20</c:v>
                </c:pt>
                <c:pt idx="18">
                  <c:v>18</c:v>
                </c:pt>
                <c:pt idx="19">
                  <c:v>16</c:v>
                </c:pt>
                <c:pt idx="20">
                  <c:v>15</c:v>
                </c:pt>
                <c:pt idx="21">
                  <c:v>18</c:v>
                </c:pt>
                <c:pt idx="22">
                  <c:v>12</c:v>
                </c:pt>
                <c:pt idx="23">
                  <c:v>14</c:v>
                </c:pt>
                <c:pt idx="24">
                  <c:v>18</c:v>
                </c:pt>
                <c:pt idx="25">
                  <c:v>16</c:v>
                </c:pt>
                <c:pt idx="26">
                  <c:v>16</c:v>
                </c:pt>
                <c:pt idx="27">
                  <c:v>16</c:v>
                </c:pt>
                <c:pt idx="28">
                  <c:v>14</c:v>
                </c:pt>
                <c:pt idx="29">
                  <c:v>14</c:v>
                </c:pt>
              </c:numCache>
            </c:numRef>
          </c:val>
          <c:extLst>
            <c:ext xmlns:c16="http://schemas.microsoft.com/office/drawing/2014/chart" uri="{C3380CC4-5D6E-409C-BE32-E72D297353CC}">
              <c16:uniqueId val="{00000000-2AFA-465A-9495-F62B861EBD2B}"/>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44357135"/>
        <c:axId val="2021977104"/>
      </c:areaChart>
      <c:catAx>
        <c:axId val="44357135"/>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21977104"/>
        <c:crosses val="autoZero"/>
        <c:auto val="1"/>
        <c:lblAlgn val="ctr"/>
        <c:lblOffset val="100"/>
        <c:noMultiLvlLbl val="0"/>
      </c:catAx>
      <c:valAx>
        <c:axId val="2021977104"/>
        <c:scaling>
          <c:orientation val="minMax"/>
        </c:scaling>
        <c:delete val="1"/>
        <c:axPos val="l"/>
        <c:numFmt formatCode="General" sourceLinked="1"/>
        <c:majorTickMark val="out"/>
        <c:minorTickMark val="none"/>
        <c:tickLblPos val="nextTo"/>
        <c:crossAx val="4435713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hyperlink" Target="#'Daily NO of patients'!A1"/><Relationship Id="rId13" Type="http://schemas.openxmlformats.org/officeDocument/2006/relationships/chart" Target="../charts/chart6.xml"/><Relationship Id="rId18" Type="http://schemas.openxmlformats.org/officeDocument/2006/relationships/chart" Target="../charts/chart10.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hyperlink" Target="#'Average patient satisfaction sc'!A1"/><Relationship Id="rId17" Type="http://schemas.openxmlformats.org/officeDocument/2006/relationships/chart" Target="../charts/chart9.xml"/><Relationship Id="rId2" Type="http://schemas.openxmlformats.org/officeDocument/2006/relationships/image" Target="../media/image2.png"/><Relationship Id="rId16"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5.xml"/><Relationship Id="rId5" Type="http://schemas.openxmlformats.org/officeDocument/2006/relationships/image" Target="../media/image5.svg"/><Relationship Id="rId15" Type="http://schemas.openxmlformats.org/officeDocument/2006/relationships/chart" Target="../charts/chart7.xml"/><Relationship Id="rId10" Type="http://schemas.openxmlformats.org/officeDocument/2006/relationships/hyperlink" Target="#'Average waiting time'!A1"/><Relationship Id="rId4" Type="http://schemas.openxmlformats.org/officeDocument/2006/relationships/image" Target="../media/image4.png"/><Relationship Id="rId9" Type="http://schemas.openxmlformats.org/officeDocument/2006/relationships/chart" Target="../charts/chart4.xml"/><Relationship Id="rId14" Type="http://schemas.openxmlformats.org/officeDocument/2006/relationships/image" Target="../media/image8.emf"/></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Dashboard!A1"/><Relationship Id="rId1" Type="http://schemas.openxmlformats.org/officeDocument/2006/relationships/chart" Target="../charts/chart11.xml"/><Relationship Id="rId4" Type="http://schemas.openxmlformats.org/officeDocument/2006/relationships/image" Target="../media/image11.sv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Dashboard!A1"/><Relationship Id="rId1" Type="http://schemas.openxmlformats.org/officeDocument/2006/relationships/chart" Target="../charts/chart12.xml"/><Relationship Id="rId4" Type="http://schemas.openxmlformats.org/officeDocument/2006/relationships/image" Target="../media/image11.svg"/></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10</xdr:col>
      <xdr:colOff>571500</xdr:colOff>
      <xdr:row>69</xdr:row>
      <xdr:rowOff>124460</xdr:rowOff>
    </xdr:from>
    <xdr:to>
      <xdr:col>13</xdr:col>
      <xdr:colOff>574040</xdr:colOff>
      <xdr:row>86</xdr:row>
      <xdr:rowOff>146050</xdr:rowOff>
    </xdr:to>
    <mc:AlternateContent xmlns:mc="http://schemas.openxmlformats.org/markup-compatibility/2006">
      <mc:Choice xmlns:a14="http://schemas.microsoft.com/office/drawing/2010/main" Requires="a14">
        <xdr:graphicFrame macro="">
          <xdr:nvGraphicFramePr>
            <xdr:cNvPr id="2" name="Date (Month)">
              <a:extLst>
                <a:ext uri="{FF2B5EF4-FFF2-40B4-BE49-F238E27FC236}">
                  <a16:creationId xmlns:a16="http://schemas.microsoft.com/office/drawing/2014/main" id="{0B716D50-1109-03C2-0372-79AE021F33AD}"/>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dr:sp macro="" textlink="">
          <xdr:nvSpPr>
            <xdr:cNvPr id="0" name=""/>
            <xdr:cNvSpPr>
              <a:spLocks noTextEdit="1"/>
            </xdr:cNvSpPr>
          </xdr:nvSpPr>
          <xdr:spPr>
            <a:xfrm>
              <a:off x="8966200" y="12843510"/>
              <a:ext cx="1831340" cy="31521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137160</xdr:colOff>
      <xdr:row>6</xdr:row>
      <xdr:rowOff>45720</xdr:rowOff>
    </xdr:from>
    <xdr:to>
      <xdr:col>12</xdr:col>
      <xdr:colOff>441960</xdr:colOff>
      <xdr:row>21</xdr:row>
      <xdr:rowOff>45720</xdr:rowOff>
    </xdr:to>
    <xdr:graphicFrame macro="">
      <xdr:nvGraphicFramePr>
        <xdr:cNvPr id="5" name="Chart 4">
          <a:extLst>
            <a:ext uri="{FF2B5EF4-FFF2-40B4-BE49-F238E27FC236}">
              <a16:creationId xmlns:a16="http://schemas.microsoft.com/office/drawing/2014/main" id="{8BC8A924-61B7-EFC8-36BB-135FE7B47B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44450</xdr:colOff>
      <xdr:row>45</xdr:row>
      <xdr:rowOff>152400</xdr:rowOff>
    </xdr:from>
    <xdr:to>
      <xdr:col>4</xdr:col>
      <xdr:colOff>118110</xdr:colOff>
      <xdr:row>49</xdr:row>
      <xdr:rowOff>120650</xdr:rowOff>
    </xdr:to>
    <xdr:graphicFrame macro="">
      <xdr:nvGraphicFramePr>
        <xdr:cNvPr id="6" name="Chart 5">
          <a:extLst>
            <a:ext uri="{FF2B5EF4-FFF2-40B4-BE49-F238E27FC236}">
              <a16:creationId xmlns:a16="http://schemas.microsoft.com/office/drawing/2014/main" id="{1ECFA49D-549B-F5E9-7F07-0939DF6A45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736600</xdr:colOff>
      <xdr:row>73</xdr:row>
      <xdr:rowOff>155575</xdr:rowOff>
    </xdr:from>
    <xdr:to>
      <xdr:col>8</xdr:col>
      <xdr:colOff>590550</xdr:colOff>
      <xdr:row>88</xdr:row>
      <xdr:rowOff>136525</xdr:rowOff>
    </xdr:to>
    <xdr:graphicFrame macro="">
      <xdr:nvGraphicFramePr>
        <xdr:cNvPr id="11" name="Chart 10">
          <a:extLst>
            <a:ext uri="{FF2B5EF4-FFF2-40B4-BE49-F238E27FC236}">
              <a16:creationId xmlns:a16="http://schemas.microsoft.com/office/drawing/2014/main" id="{11AFA084-D09D-748A-AF89-1973D067CE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414020</xdr:colOff>
      <xdr:row>91</xdr:row>
      <xdr:rowOff>8890</xdr:rowOff>
    </xdr:from>
    <xdr:to>
      <xdr:col>5</xdr:col>
      <xdr:colOff>185420</xdr:colOff>
      <xdr:row>104</xdr:row>
      <xdr:rowOff>81915</xdr:rowOff>
    </xdr:to>
    <mc:AlternateContent xmlns:mc="http://schemas.openxmlformats.org/markup-compatibility/2006">
      <mc:Choice xmlns:a14="http://schemas.microsoft.com/office/drawing/2010/main" Requires="a14">
        <xdr:graphicFrame macro="">
          <xdr:nvGraphicFramePr>
            <xdr:cNvPr id="12" name="Date (Year)">
              <a:extLst>
                <a:ext uri="{FF2B5EF4-FFF2-40B4-BE49-F238E27FC236}">
                  <a16:creationId xmlns:a16="http://schemas.microsoft.com/office/drawing/2014/main" id="{86ABB1BF-4DDD-50F5-BFA9-CA34C446C058}"/>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dr:sp macro="" textlink="">
          <xdr:nvSpPr>
            <xdr:cNvPr id="0" name=""/>
            <xdr:cNvSpPr>
              <a:spLocks noTextEdit="1"/>
            </xdr:cNvSpPr>
          </xdr:nvSpPr>
          <xdr:spPr>
            <a:xfrm>
              <a:off x="3703320" y="167792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68580</xdr:colOff>
      <xdr:row>0</xdr:row>
      <xdr:rowOff>144781</xdr:rowOff>
    </xdr:from>
    <xdr:to>
      <xdr:col>6</xdr:col>
      <xdr:colOff>533400</xdr:colOff>
      <xdr:row>4</xdr:row>
      <xdr:rowOff>76201</xdr:rowOff>
    </xdr:to>
    <xdr:sp macro="" textlink="">
      <xdr:nvSpPr>
        <xdr:cNvPr id="2" name="Rectangle: Rounded Corners 1">
          <a:extLst>
            <a:ext uri="{FF2B5EF4-FFF2-40B4-BE49-F238E27FC236}">
              <a16:creationId xmlns:a16="http://schemas.microsoft.com/office/drawing/2014/main" id="{455C73C9-1D20-1FEA-28A3-5B721BDB315C}"/>
            </a:ext>
          </a:extLst>
        </xdr:cNvPr>
        <xdr:cNvSpPr/>
      </xdr:nvSpPr>
      <xdr:spPr>
        <a:xfrm>
          <a:off x="68580" y="144781"/>
          <a:ext cx="4198620" cy="651856"/>
        </a:xfrm>
        <a:prstGeom prst="roundRect">
          <a:avLst>
            <a:gd name="adj" fmla="val 13479"/>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574963</xdr:colOff>
      <xdr:row>0</xdr:row>
      <xdr:rowOff>152400</xdr:rowOff>
    </xdr:from>
    <xdr:to>
      <xdr:col>9</xdr:col>
      <xdr:colOff>353291</xdr:colOff>
      <xdr:row>4</xdr:row>
      <xdr:rowOff>76200</xdr:rowOff>
    </xdr:to>
    <xdr:sp macro="" textlink="">
      <xdr:nvSpPr>
        <xdr:cNvPr id="3" name="Rectangle: Rounded Corners 2">
          <a:extLst>
            <a:ext uri="{FF2B5EF4-FFF2-40B4-BE49-F238E27FC236}">
              <a16:creationId xmlns:a16="http://schemas.microsoft.com/office/drawing/2014/main" id="{7409EA3C-5FC8-6DF5-DB36-6558CC140E22}"/>
            </a:ext>
          </a:extLst>
        </xdr:cNvPr>
        <xdr:cNvSpPr/>
      </xdr:nvSpPr>
      <xdr:spPr>
        <a:xfrm>
          <a:off x="4308763" y="152400"/>
          <a:ext cx="1607128" cy="644236"/>
        </a:xfrm>
        <a:prstGeom prst="roundRect">
          <a:avLst>
            <a:gd name="adj" fmla="val 9375"/>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416329</xdr:colOff>
      <xdr:row>0</xdr:row>
      <xdr:rowOff>77586</xdr:rowOff>
    </xdr:from>
    <xdr:to>
      <xdr:col>12</xdr:col>
      <xdr:colOff>180109</xdr:colOff>
      <xdr:row>9</xdr:row>
      <xdr:rowOff>20782</xdr:rowOff>
    </xdr:to>
    <xdr:sp macro="" textlink="">
      <xdr:nvSpPr>
        <xdr:cNvPr id="4" name="Rectangle: Rounded Corners 3">
          <a:extLst>
            <a:ext uri="{FF2B5EF4-FFF2-40B4-BE49-F238E27FC236}">
              <a16:creationId xmlns:a16="http://schemas.microsoft.com/office/drawing/2014/main" id="{A865827A-88C2-CBC7-5F85-170254A0174A}"/>
            </a:ext>
          </a:extLst>
        </xdr:cNvPr>
        <xdr:cNvSpPr/>
      </xdr:nvSpPr>
      <xdr:spPr>
        <a:xfrm>
          <a:off x="5978929" y="77586"/>
          <a:ext cx="1592580" cy="1564178"/>
        </a:xfrm>
        <a:prstGeom prst="roundRect">
          <a:avLst>
            <a:gd name="adj" fmla="val 7284"/>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12</xdr:col>
      <xdr:colOff>236912</xdr:colOff>
      <xdr:row>0</xdr:row>
      <xdr:rowOff>84513</xdr:rowOff>
    </xdr:from>
    <xdr:to>
      <xdr:col>15</xdr:col>
      <xdr:colOff>55417</xdr:colOff>
      <xdr:row>9</xdr:row>
      <xdr:rowOff>0</xdr:rowOff>
    </xdr:to>
    <xdr:sp macro="" textlink="">
      <xdr:nvSpPr>
        <xdr:cNvPr id="5" name="Rectangle: Rounded Corners 4">
          <a:extLst>
            <a:ext uri="{FF2B5EF4-FFF2-40B4-BE49-F238E27FC236}">
              <a16:creationId xmlns:a16="http://schemas.microsoft.com/office/drawing/2014/main" id="{64BAE595-FEC2-3623-E9E1-ADD53DF7B84C}"/>
            </a:ext>
          </a:extLst>
        </xdr:cNvPr>
        <xdr:cNvSpPr/>
      </xdr:nvSpPr>
      <xdr:spPr>
        <a:xfrm>
          <a:off x="7628312" y="84513"/>
          <a:ext cx="1647305" cy="1536469"/>
        </a:xfrm>
        <a:prstGeom prst="roundRect">
          <a:avLst>
            <a:gd name="adj" fmla="val 6790"/>
          </a:avLst>
        </a:prstGeom>
        <a:solidFill>
          <a:schemeClr val="bg2"/>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68580</xdr:colOff>
      <xdr:row>4</xdr:row>
      <xdr:rowOff>145473</xdr:rowOff>
    </xdr:from>
    <xdr:to>
      <xdr:col>1</xdr:col>
      <xdr:colOff>415636</xdr:colOff>
      <xdr:row>23</xdr:row>
      <xdr:rowOff>0</xdr:rowOff>
    </xdr:to>
    <xdr:sp macro="" textlink="">
      <xdr:nvSpPr>
        <xdr:cNvPr id="6" name="Rectangle: Rounded Corners 5">
          <a:extLst>
            <a:ext uri="{FF2B5EF4-FFF2-40B4-BE49-F238E27FC236}">
              <a16:creationId xmlns:a16="http://schemas.microsoft.com/office/drawing/2014/main" id="{92AC8CBB-53B2-AA3F-9CB9-1368F8D63C1A}"/>
            </a:ext>
          </a:extLst>
        </xdr:cNvPr>
        <xdr:cNvSpPr/>
      </xdr:nvSpPr>
      <xdr:spPr>
        <a:xfrm>
          <a:off x="68580" y="865909"/>
          <a:ext cx="1032856" cy="3276600"/>
        </a:xfrm>
        <a:prstGeom prst="roundRect">
          <a:avLst>
            <a:gd name="adj" fmla="val 7179"/>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484909</xdr:colOff>
      <xdr:row>4</xdr:row>
      <xdr:rowOff>152401</xdr:rowOff>
    </xdr:from>
    <xdr:to>
      <xdr:col>4</xdr:col>
      <xdr:colOff>234142</xdr:colOff>
      <xdr:row>11</xdr:row>
      <xdr:rowOff>27708</xdr:rowOff>
    </xdr:to>
    <xdr:sp macro="" textlink="">
      <xdr:nvSpPr>
        <xdr:cNvPr id="7" name="Rectangle: Rounded Corners 6">
          <a:extLst>
            <a:ext uri="{FF2B5EF4-FFF2-40B4-BE49-F238E27FC236}">
              <a16:creationId xmlns:a16="http://schemas.microsoft.com/office/drawing/2014/main" id="{E4D0FCF6-EA1F-47BA-CE7C-A80B5C6A109A}"/>
            </a:ext>
          </a:extLst>
        </xdr:cNvPr>
        <xdr:cNvSpPr/>
      </xdr:nvSpPr>
      <xdr:spPr>
        <a:xfrm>
          <a:off x="1170709" y="872837"/>
          <a:ext cx="1578033" cy="1136071"/>
        </a:xfrm>
        <a:prstGeom prst="roundRect">
          <a:avLst>
            <a:gd name="adj" fmla="val 8130"/>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4</xdr:col>
      <xdr:colOff>290944</xdr:colOff>
      <xdr:row>4</xdr:row>
      <xdr:rowOff>159329</xdr:rowOff>
    </xdr:from>
    <xdr:to>
      <xdr:col>6</xdr:col>
      <xdr:colOff>590202</xdr:colOff>
      <xdr:row>11</xdr:row>
      <xdr:rowOff>27708</xdr:rowOff>
    </xdr:to>
    <xdr:sp macro="" textlink="">
      <xdr:nvSpPr>
        <xdr:cNvPr id="8" name="Rectangle: Rounded Corners 7">
          <a:extLst>
            <a:ext uri="{FF2B5EF4-FFF2-40B4-BE49-F238E27FC236}">
              <a16:creationId xmlns:a16="http://schemas.microsoft.com/office/drawing/2014/main" id="{7E216B6D-A63A-DF9D-9DBB-F7638E5E8660}"/>
            </a:ext>
          </a:extLst>
        </xdr:cNvPr>
        <xdr:cNvSpPr/>
      </xdr:nvSpPr>
      <xdr:spPr>
        <a:xfrm>
          <a:off x="2805544" y="879765"/>
          <a:ext cx="1518458" cy="1129143"/>
        </a:xfrm>
        <a:prstGeom prst="roundRect">
          <a:avLst>
            <a:gd name="adj" fmla="val 6851"/>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41563</xdr:colOff>
      <xdr:row>5</xdr:row>
      <xdr:rowOff>1</xdr:rowOff>
    </xdr:from>
    <xdr:to>
      <xdr:col>9</xdr:col>
      <xdr:colOff>374073</xdr:colOff>
      <xdr:row>11</xdr:row>
      <xdr:rowOff>20781</xdr:rowOff>
    </xdr:to>
    <xdr:sp macro="" textlink="">
      <xdr:nvSpPr>
        <xdr:cNvPr id="9" name="Rectangle: Rounded Corners 8">
          <a:extLst>
            <a:ext uri="{FF2B5EF4-FFF2-40B4-BE49-F238E27FC236}">
              <a16:creationId xmlns:a16="http://schemas.microsoft.com/office/drawing/2014/main" id="{FDFA66CC-5B1D-D4F9-7FC5-1770A2F3A384}"/>
            </a:ext>
          </a:extLst>
        </xdr:cNvPr>
        <xdr:cNvSpPr/>
      </xdr:nvSpPr>
      <xdr:spPr>
        <a:xfrm>
          <a:off x="4384963" y="900546"/>
          <a:ext cx="1551710" cy="1101435"/>
        </a:xfrm>
        <a:prstGeom prst="roundRect">
          <a:avLst>
            <a:gd name="adj" fmla="val 6604"/>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471054</xdr:colOff>
      <xdr:row>11</xdr:row>
      <xdr:rowOff>85899</xdr:rowOff>
    </xdr:from>
    <xdr:to>
      <xdr:col>9</xdr:col>
      <xdr:colOff>380999</xdr:colOff>
      <xdr:row>14</xdr:row>
      <xdr:rowOff>117764</xdr:rowOff>
    </xdr:to>
    <xdr:sp macro="" textlink="">
      <xdr:nvSpPr>
        <xdr:cNvPr id="10" name="Rectangle: Rounded Corners 9" hidden="1">
          <a:extLst>
            <a:ext uri="{FF2B5EF4-FFF2-40B4-BE49-F238E27FC236}">
              <a16:creationId xmlns:a16="http://schemas.microsoft.com/office/drawing/2014/main" id="{C1F31718-CB33-F6F1-39C2-B12038C37E34}"/>
            </a:ext>
          </a:extLst>
        </xdr:cNvPr>
        <xdr:cNvSpPr/>
      </xdr:nvSpPr>
      <xdr:spPr>
        <a:xfrm>
          <a:off x="1156854" y="2067099"/>
          <a:ext cx="4786745" cy="572192"/>
        </a:xfrm>
        <a:prstGeom prst="roundRect">
          <a:avLst>
            <a:gd name="adj" fmla="val 14437"/>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418408</xdr:colOff>
      <xdr:row>9</xdr:row>
      <xdr:rowOff>90748</xdr:rowOff>
    </xdr:from>
    <xdr:to>
      <xdr:col>15</xdr:col>
      <xdr:colOff>83128</xdr:colOff>
      <xdr:row>22</xdr:row>
      <xdr:rowOff>166255</xdr:rowOff>
    </xdr:to>
    <xdr:sp macro="" textlink="">
      <xdr:nvSpPr>
        <xdr:cNvPr id="11" name="Rectangle: Rounded Corners 10">
          <a:extLst>
            <a:ext uri="{FF2B5EF4-FFF2-40B4-BE49-F238E27FC236}">
              <a16:creationId xmlns:a16="http://schemas.microsoft.com/office/drawing/2014/main" id="{319168BA-EA7A-0638-F22E-3D7228F0C4C9}"/>
            </a:ext>
          </a:extLst>
        </xdr:cNvPr>
        <xdr:cNvSpPr/>
      </xdr:nvSpPr>
      <xdr:spPr>
        <a:xfrm>
          <a:off x="5981008" y="1711730"/>
          <a:ext cx="3322320" cy="2416925"/>
        </a:xfrm>
        <a:prstGeom prst="roundRect">
          <a:avLst>
            <a:gd name="adj" fmla="val 3822"/>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477982</xdr:colOff>
      <xdr:row>14</xdr:row>
      <xdr:rowOff>152400</xdr:rowOff>
    </xdr:from>
    <xdr:to>
      <xdr:col>9</xdr:col>
      <xdr:colOff>374073</xdr:colOff>
      <xdr:row>22</xdr:row>
      <xdr:rowOff>166254</xdr:rowOff>
    </xdr:to>
    <xdr:sp macro="" textlink="">
      <xdr:nvSpPr>
        <xdr:cNvPr id="12" name="Rectangle: Rounded Corners 11">
          <a:extLst>
            <a:ext uri="{FF2B5EF4-FFF2-40B4-BE49-F238E27FC236}">
              <a16:creationId xmlns:a16="http://schemas.microsoft.com/office/drawing/2014/main" id="{2BAFCF98-4E2A-7ED6-0AA0-6F4152A70D7A}"/>
            </a:ext>
          </a:extLst>
        </xdr:cNvPr>
        <xdr:cNvSpPr/>
      </xdr:nvSpPr>
      <xdr:spPr>
        <a:xfrm>
          <a:off x="1163782" y="2673927"/>
          <a:ext cx="4772891" cy="1454727"/>
        </a:xfrm>
        <a:prstGeom prst="roundRect">
          <a:avLst>
            <a:gd name="adj" fmla="val 7311"/>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193962</xdr:colOff>
      <xdr:row>1</xdr:row>
      <xdr:rowOff>6927</xdr:rowOff>
    </xdr:from>
    <xdr:to>
      <xdr:col>5</xdr:col>
      <xdr:colOff>512618</xdr:colOff>
      <xdr:row>2</xdr:row>
      <xdr:rowOff>117763</xdr:rowOff>
    </xdr:to>
    <xdr:sp macro="" textlink="">
      <xdr:nvSpPr>
        <xdr:cNvPr id="13" name="TextBox 12">
          <a:extLst>
            <a:ext uri="{FF2B5EF4-FFF2-40B4-BE49-F238E27FC236}">
              <a16:creationId xmlns:a16="http://schemas.microsoft.com/office/drawing/2014/main" id="{EC94F273-4F0F-30F9-E8E2-EE62425947CE}"/>
            </a:ext>
          </a:extLst>
        </xdr:cNvPr>
        <xdr:cNvSpPr txBox="1"/>
      </xdr:nvSpPr>
      <xdr:spPr>
        <a:xfrm>
          <a:off x="879762" y="187036"/>
          <a:ext cx="2757056" cy="290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400">
              <a:solidFill>
                <a:srgbClr val="FF0000"/>
              </a:solidFill>
            </a:rPr>
            <a:t>Hospital Emergency Room</a:t>
          </a:r>
          <a:r>
            <a:rPr lang="en-IN" sz="1400" baseline="0">
              <a:solidFill>
                <a:srgbClr val="FF0000"/>
              </a:solidFill>
            </a:rPr>
            <a:t> Dashboard</a:t>
          </a:r>
          <a:endParaRPr lang="en-IN" sz="1400">
            <a:solidFill>
              <a:srgbClr val="FF0000"/>
            </a:solidFill>
          </a:endParaRPr>
        </a:p>
      </xdr:txBody>
    </xdr:sp>
    <xdr:clientData/>
  </xdr:twoCellAnchor>
  <xdr:twoCellAnchor editAs="oneCell">
    <xdr:from>
      <xdr:col>0</xdr:col>
      <xdr:colOff>0</xdr:colOff>
      <xdr:row>0</xdr:row>
      <xdr:rowOff>131620</xdr:rowOff>
    </xdr:from>
    <xdr:to>
      <xdr:col>1</xdr:col>
      <xdr:colOff>387927</xdr:colOff>
      <xdr:row>4</xdr:row>
      <xdr:rowOff>91130</xdr:rowOff>
    </xdr:to>
    <xdr:pic>
      <xdr:nvPicPr>
        <xdr:cNvPr id="15" name="Picture 14">
          <a:extLst>
            <a:ext uri="{FF2B5EF4-FFF2-40B4-BE49-F238E27FC236}">
              <a16:creationId xmlns:a16="http://schemas.microsoft.com/office/drawing/2014/main" id="{593111BD-26FC-3F22-8BE0-9DFBCCB73B5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 t="3056" r="-13139" b="-3056"/>
        <a:stretch>
          <a:fillRect/>
        </a:stretch>
      </xdr:blipFill>
      <xdr:spPr>
        <a:xfrm>
          <a:off x="0" y="131620"/>
          <a:ext cx="1073727" cy="679946"/>
        </a:xfrm>
        <a:prstGeom prst="rect">
          <a:avLst/>
        </a:prstGeom>
      </xdr:spPr>
    </xdr:pic>
    <xdr:clientData/>
  </xdr:twoCellAnchor>
  <xdr:twoCellAnchor editAs="absolute">
    <xdr:from>
      <xdr:col>1</xdr:col>
      <xdr:colOff>193962</xdr:colOff>
      <xdr:row>2</xdr:row>
      <xdr:rowOff>48491</xdr:rowOff>
    </xdr:from>
    <xdr:to>
      <xdr:col>6</xdr:col>
      <xdr:colOff>20782</xdr:colOff>
      <xdr:row>3</xdr:row>
      <xdr:rowOff>159327</xdr:rowOff>
    </xdr:to>
    <xdr:sp macro="" textlink="">
      <xdr:nvSpPr>
        <xdr:cNvPr id="16" name="TextBox 15">
          <a:extLst>
            <a:ext uri="{FF2B5EF4-FFF2-40B4-BE49-F238E27FC236}">
              <a16:creationId xmlns:a16="http://schemas.microsoft.com/office/drawing/2014/main" id="{73A7700E-3CCF-F9A9-34C8-F6352B09E6CA}"/>
            </a:ext>
          </a:extLst>
        </xdr:cNvPr>
        <xdr:cNvSpPr txBox="1"/>
      </xdr:nvSpPr>
      <xdr:spPr>
        <a:xfrm>
          <a:off x="879762" y="408709"/>
          <a:ext cx="2874820" cy="290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200">
              <a:solidFill>
                <a:schemeClr val="tx1"/>
              </a:solidFill>
            </a:rPr>
            <a:t>Monthly</a:t>
          </a:r>
          <a:r>
            <a:rPr lang="en-IN" sz="1200" baseline="0">
              <a:solidFill>
                <a:schemeClr val="tx1"/>
              </a:solidFill>
            </a:rPr>
            <a:t> report</a:t>
          </a:r>
          <a:endParaRPr lang="en-IN" sz="1200">
            <a:solidFill>
              <a:schemeClr val="tx1"/>
            </a:solidFill>
          </a:endParaRPr>
        </a:p>
      </xdr:txBody>
    </xdr:sp>
    <xdr:clientData/>
  </xdr:twoCellAnchor>
  <xdr:twoCellAnchor editAs="absolute">
    <xdr:from>
      <xdr:col>0</xdr:col>
      <xdr:colOff>547251</xdr:colOff>
      <xdr:row>5</xdr:row>
      <xdr:rowOff>0</xdr:rowOff>
    </xdr:from>
    <xdr:to>
      <xdr:col>5</xdr:col>
      <xdr:colOff>297871</xdr:colOff>
      <xdr:row>6</xdr:row>
      <xdr:rowOff>110835</xdr:rowOff>
    </xdr:to>
    <xdr:sp macro="" textlink="'Pivot Report'!A5">
      <xdr:nvSpPr>
        <xdr:cNvPr id="17" name="TextBox 16">
          <a:extLst>
            <a:ext uri="{FF2B5EF4-FFF2-40B4-BE49-F238E27FC236}">
              <a16:creationId xmlns:a16="http://schemas.microsoft.com/office/drawing/2014/main" id="{38C8E943-DEF7-A297-2D24-BADA3E7FF51B}"/>
            </a:ext>
          </a:extLst>
        </xdr:cNvPr>
        <xdr:cNvSpPr txBox="1"/>
      </xdr:nvSpPr>
      <xdr:spPr>
        <a:xfrm>
          <a:off x="547251" y="900545"/>
          <a:ext cx="2874820" cy="290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45A6E9C7-B8FF-4C9D-A87D-55F2AD87B496}" type="TxLink">
            <a:rPr lang="en-US" sz="1400" b="1" i="0" u="none" strike="noStrike">
              <a:solidFill>
                <a:srgbClr val="000000"/>
              </a:solidFill>
              <a:latin typeface="Calibri"/>
              <a:ea typeface="Calibri"/>
              <a:cs typeface="Calibri"/>
            </a:rPr>
            <a:pPr algn="ctr"/>
            <a:t>479</a:t>
          </a:fld>
          <a:endParaRPr lang="en-IN" sz="1400" b="1">
            <a:solidFill>
              <a:schemeClr val="tx1"/>
            </a:solidFill>
          </a:endParaRPr>
        </a:p>
      </xdr:txBody>
    </xdr:sp>
    <xdr:clientData/>
  </xdr:twoCellAnchor>
  <xdr:twoCellAnchor editAs="absolute">
    <xdr:from>
      <xdr:col>0</xdr:col>
      <xdr:colOff>574962</xdr:colOff>
      <xdr:row>6</xdr:row>
      <xdr:rowOff>20780</xdr:rowOff>
    </xdr:from>
    <xdr:to>
      <xdr:col>5</xdr:col>
      <xdr:colOff>325582</xdr:colOff>
      <xdr:row>7</xdr:row>
      <xdr:rowOff>131616</xdr:rowOff>
    </xdr:to>
    <xdr:sp macro="" textlink="">
      <xdr:nvSpPr>
        <xdr:cNvPr id="19" name="TextBox 18">
          <a:extLst>
            <a:ext uri="{FF2B5EF4-FFF2-40B4-BE49-F238E27FC236}">
              <a16:creationId xmlns:a16="http://schemas.microsoft.com/office/drawing/2014/main" id="{D2923B5B-FE0B-6ADE-7B21-80A46E24B093}"/>
            </a:ext>
          </a:extLst>
        </xdr:cNvPr>
        <xdr:cNvSpPr txBox="1"/>
      </xdr:nvSpPr>
      <xdr:spPr>
        <a:xfrm>
          <a:off x="574962" y="1101435"/>
          <a:ext cx="2874820" cy="290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200">
              <a:solidFill>
                <a:schemeClr val="tx1"/>
              </a:solidFill>
            </a:rPr>
            <a:t>No.</a:t>
          </a:r>
          <a:r>
            <a:rPr lang="en-IN" sz="1200" baseline="0">
              <a:solidFill>
                <a:schemeClr val="tx1"/>
              </a:solidFill>
            </a:rPr>
            <a:t> of patients</a:t>
          </a:r>
          <a:endParaRPr lang="en-IN" sz="1200">
            <a:solidFill>
              <a:schemeClr val="tx1"/>
            </a:solidFill>
          </a:endParaRPr>
        </a:p>
      </xdr:txBody>
    </xdr:sp>
    <xdr:clientData/>
  </xdr:twoCellAnchor>
  <xdr:twoCellAnchor editAs="absolute">
    <xdr:from>
      <xdr:col>3</xdr:col>
      <xdr:colOff>214744</xdr:colOff>
      <xdr:row>4</xdr:row>
      <xdr:rowOff>166254</xdr:rowOff>
    </xdr:from>
    <xdr:to>
      <xdr:col>8</xdr:col>
      <xdr:colOff>41564</xdr:colOff>
      <xdr:row>6</xdr:row>
      <xdr:rowOff>96980</xdr:rowOff>
    </xdr:to>
    <xdr:sp macro="" textlink="'Pivot Report'!A9">
      <xdr:nvSpPr>
        <xdr:cNvPr id="20" name="TextBox 19">
          <a:extLst>
            <a:ext uri="{FF2B5EF4-FFF2-40B4-BE49-F238E27FC236}">
              <a16:creationId xmlns:a16="http://schemas.microsoft.com/office/drawing/2014/main" id="{14EC1D02-7B0A-22D1-CFEE-D468F2719CCE}"/>
            </a:ext>
          </a:extLst>
        </xdr:cNvPr>
        <xdr:cNvSpPr txBox="1"/>
      </xdr:nvSpPr>
      <xdr:spPr>
        <a:xfrm>
          <a:off x="2119744" y="886690"/>
          <a:ext cx="2874820" cy="290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30BD4F38-D290-4CD5-A219-442770AD5B61}" type="TxLink">
            <a:rPr lang="en-US" sz="1400" b="1" i="0" u="none" strike="noStrike">
              <a:solidFill>
                <a:srgbClr val="000000"/>
              </a:solidFill>
              <a:latin typeface="Calibri"/>
              <a:ea typeface="Calibri"/>
              <a:cs typeface="Calibri"/>
            </a:rPr>
            <a:pPr algn="ctr"/>
            <a:t>34.90</a:t>
          </a:fld>
          <a:endParaRPr lang="en-IN" sz="1400" b="1">
            <a:solidFill>
              <a:schemeClr val="tx1"/>
            </a:solidFill>
          </a:endParaRPr>
        </a:p>
      </xdr:txBody>
    </xdr:sp>
    <xdr:clientData/>
  </xdr:twoCellAnchor>
  <xdr:twoCellAnchor editAs="absolute">
    <xdr:from>
      <xdr:col>5</xdr:col>
      <xdr:colOff>561107</xdr:colOff>
      <xdr:row>5</xdr:row>
      <xdr:rowOff>13854</xdr:rowOff>
    </xdr:from>
    <xdr:to>
      <xdr:col>10</xdr:col>
      <xdr:colOff>387927</xdr:colOff>
      <xdr:row>6</xdr:row>
      <xdr:rowOff>124689</xdr:rowOff>
    </xdr:to>
    <xdr:sp macro="" textlink="'Pivot Report'!A12">
      <xdr:nvSpPr>
        <xdr:cNvPr id="21" name="TextBox 20">
          <a:extLst>
            <a:ext uri="{FF2B5EF4-FFF2-40B4-BE49-F238E27FC236}">
              <a16:creationId xmlns:a16="http://schemas.microsoft.com/office/drawing/2014/main" id="{4378AF59-B74D-99D3-97FE-EA8C4A03D532}"/>
            </a:ext>
          </a:extLst>
        </xdr:cNvPr>
        <xdr:cNvSpPr txBox="1"/>
      </xdr:nvSpPr>
      <xdr:spPr>
        <a:xfrm>
          <a:off x="3685307" y="914399"/>
          <a:ext cx="2874820" cy="290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AA11357A-DBA5-4E23-A3EA-5B0ADF975747}" type="TxLink">
            <a:rPr lang="en-US" sz="1400" b="1" i="0" u="none" strike="noStrike">
              <a:solidFill>
                <a:srgbClr val="000000"/>
              </a:solidFill>
              <a:latin typeface="Calibri"/>
              <a:ea typeface="Calibri"/>
              <a:cs typeface="Calibri"/>
            </a:rPr>
            <a:pPr algn="ctr"/>
            <a:t>5.30</a:t>
          </a:fld>
          <a:endParaRPr lang="en-IN" sz="1400" b="1">
            <a:solidFill>
              <a:schemeClr val="tx1"/>
            </a:solidFill>
          </a:endParaRPr>
        </a:p>
      </xdr:txBody>
    </xdr:sp>
    <xdr:clientData/>
  </xdr:twoCellAnchor>
  <xdr:twoCellAnchor editAs="absolute">
    <xdr:from>
      <xdr:col>3</xdr:col>
      <xdr:colOff>249380</xdr:colOff>
      <xdr:row>6</xdr:row>
      <xdr:rowOff>6926</xdr:rowOff>
    </xdr:from>
    <xdr:to>
      <xdr:col>8</xdr:col>
      <xdr:colOff>76200</xdr:colOff>
      <xdr:row>7</xdr:row>
      <xdr:rowOff>117762</xdr:rowOff>
    </xdr:to>
    <xdr:sp macro="" textlink="">
      <xdr:nvSpPr>
        <xdr:cNvPr id="22" name="TextBox 21">
          <a:extLst>
            <a:ext uri="{FF2B5EF4-FFF2-40B4-BE49-F238E27FC236}">
              <a16:creationId xmlns:a16="http://schemas.microsoft.com/office/drawing/2014/main" id="{2C9A5121-400F-1FE2-437E-7BF514A09407}"/>
            </a:ext>
          </a:extLst>
        </xdr:cNvPr>
        <xdr:cNvSpPr txBox="1"/>
      </xdr:nvSpPr>
      <xdr:spPr>
        <a:xfrm>
          <a:off x="2154380" y="1087581"/>
          <a:ext cx="2874820" cy="290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200">
              <a:solidFill>
                <a:schemeClr val="tx1"/>
              </a:solidFill>
            </a:rPr>
            <a:t>Average</a:t>
          </a:r>
          <a:r>
            <a:rPr lang="en-IN" sz="1200" baseline="0">
              <a:solidFill>
                <a:schemeClr val="tx1"/>
              </a:solidFill>
            </a:rPr>
            <a:t> waiting Time</a:t>
          </a:r>
          <a:endParaRPr lang="en-IN" sz="1200">
            <a:solidFill>
              <a:schemeClr val="tx1"/>
            </a:solidFill>
          </a:endParaRPr>
        </a:p>
      </xdr:txBody>
    </xdr:sp>
    <xdr:clientData/>
  </xdr:twoCellAnchor>
  <xdr:twoCellAnchor editAs="absolute">
    <xdr:from>
      <xdr:col>5</xdr:col>
      <xdr:colOff>595744</xdr:colOff>
      <xdr:row>6</xdr:row>
      <xdr:rowOff>6927</xdr:rowOff>
    </xdr:from>
    <xdr:to>
      <xdr:col>10</xdr:col>
      <xdr:colOff>422564</xdr:colOff>
      <xdr:row>7</xdr:row>
      <xdr:rowOff>117763</xdr:rowOff>
    </xdr:to>
    <xdr:sp macro="" textlink="">
      <xdr:nvSpPr>
        <xdr:cNvPr id="23" name="TextBox 22">
          <a:extLst>
            <a:ext uri="{FF2B5EF4-FFF2-40B4-BE49-F238E27FC236}">
              <a16:creationId xmlns:a16="http://schemas.microsoft.com/office/drawing/2014/main" id="{99456D56-A7B8-D162-182A-D46F799BCC16}"/>
            </a:ext>
          </a:extLst>
        </xdr:cNvPr>
        <xdr:cNvSpPr txBox="1"/>
      </xdr:nvSpPr>
      <xdr:spPr>
        <a:xfrm>
          <a:off x="3719944" y="1087582"/>
          <a:ext cx="2874820" cy="290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200">
              <a:solidFill>
                <a:schemeClr val="tx1"/>
              </a:solidFill>
            </a:rPr>
            <a:t>Patient</a:t>
          </a:r>
          <a:r>
            <a:rPr lang="en-IN" sz="1200" baseline="0">
              <a:solidFill>
                <a:schemeClr val="tx1"/>
              </a:solidFill>
            </a:rPr>
            <a:t> Satisfaction score</a:t>
          </a:r>
          <a:endParaRPr lang="en-IN" sz="1200">
            <a:solidFill>
              <a:schemeClr val="tx1"/>
            </a:solidFill>
          </a:endParaRPr>
        </a:p>
      </xdr:txBody>
    </xdr:sp>
    <xdr:clientData/>
  </xdr:twoCellAnchor>
  <xdr:twoCellAnchor editAs="oneCell">
    <xdr:from>
      <xdr:col>6</xdr:col>
      <xdr:colOff>235527</xdr:colOff>
      <xdr:row>4</xdr:row>
      <xdr:rowOff>173182</xdr:rowOff>
    </xdr:from>
    <xdr:to>
      <xdr:col>6</xdr:col>
      <xdr:colOff>519545</xdr:colOff>
      <xdr:row>6</xdr:row>
      <xdr:rowOff>96981</xdr:rowOff>
    </xdr:to>
    <xdr:pic>
      <xdr:nvPicPr>
        <xdr:cNvPr id="25" name="Graphic 24" descr="Hourglass Finished with solid fill">
          <a:extLst>
            <a:ext uri="{FF2B5EF4-FFF2-40B4-BE49-F238E27FC236}">
              <a16:creationId xmlns:a16="http://schemas.microsoft.com/office/drawing/2014/main" id="{C1D037EC-EFB0-3C02-DF81-03CE99D4F84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969327" y="893618"/>
          <a:ext cx="284018" cy="284018"/>
        </a:xfrm>
        <a:prstGeom prst="rect">
          <a:avLst/>
        </a:prstGeom>
      </xdr:spPr>
    </xdr:pic>
    <xdr:clientData/>
  </xdr:twoCellAnchor>
  <xdr:twoCellAnchor editAs="oneCell">
    <xdr:from>
      <xdr:col>8</xdr:col>
      <xdr:colOff>602672</xdr:colOff>
      <xdr:row>5</xdr:row>
      <xdr:rowOff>41565</xdr:rowOff>
    </xdr:from>
    <xdr:to>
      <xdr:col>9</xdr:col>
      <xdr:colOff>277472</xdr:colOff>
      <xdr:row>6</xdr:row>
      <xdr:rowOff>145855</xdr:rowOff>
    </xdr:to>
    <xdr:pic>
      <xdr:nvPicPr>
        <xdr:cNvPr id="27" name="Graphic 26" descr="Customer review with solid fill">
          <a:extLst>
            <a:ext uri="{FF2B5EF4-FFF2-40B4-BE49-F238E27FC236}">
              <a16:creationId xmlns:a16="http://schemas.microsoft.com/office/drawing/2014/main" id="{12C2705C-C79F-8772-CC25-E0583F36653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555672" y="942110"/>
          <a:ext cx="284400" cy="284400"/>
        </a:xfrm>
        <a:prstGeom prst="rect">
          <a:avLst/>
        </a:prstGeom>
      </xdr:spPr>
    </xdr:pic>
    <xdr:clientData/>
  </xdr:twoCellAnchor>
  <xdr:twoCellAnchor editAs="oneCell">
    <xdr:from>
      <xdr:col>3</xdr:col>
      <xdr:colOff>477980</xdr:colOff>
      <xdr:row>4</xdr:row>
      <xdr:rowOff>166256</xdr:rowOff>
    </xdr:from>
    <xdr:to>
      <xdr:col>4</xdr:col>
      <xdr:colOff>152780</xdr:colOff>
      <xdr:row>6</xdr:row>
      <xdr:rowOff>90437</xdr:rowOff>
    </xdr:to>
    <xdr:pic>
      <xdr:nvPicPr>
        <xdr:cNvPr id="29" name="Graphic 28" descr="User with solid fill">
          <a:extLst>
            <a:ext uri="{FF2B5EF4-FFF2-40B4-BE49-F238E27FC236}">
              <a16:creationId xmlns:a16="http://schemas.microsoft.com/office/drawing/2014/main" id="{07A7F2E1-8F5F-F949-75D5-9BB0156B75F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382980" y="886692"/>
          <a:ext cx="284400" cy="284400"/>
        </a:xfrm>
        <a:prstGeom prst="rect">
          <a:avLst/>
        </a:prstGeom>
      </xdr:spPr>
    </xdr:pic>
    <xdr:clientData/>
  </xdr:twoCellAnchor>
  <xdr:twoCellAnchor editAs="oneCell">
    <xdr:from>
      <xdr:col>0</xdr:col>
      <xdr:colOff>131621</xdr:colOff>
      <xdr:row>5</xdr:row>
      <xdr:rowOff>83128</xdr:rowOff>
    </xdr:from>
    <xdr:to>
      <xdr:col>1</xdr:col>
      <xdr:colOff>337271</xdr:colOff>
      <xdr:row>22</xdr:row>
      <xdr:rowOff>69272</xdr:rowOff>
    </xdr:to>
    <mc:AlternateContent xmlns:mc="http://schemas.openxmlformats.org/markup-compatibility/2006">
      <mc:Choice xmlns:a14="http://schemas.microsoft.com/office/drawing/2010/main" Requires="a14">
        <xdr:graphicFrame macro="">
          <xdr:nvGraphicFramePr>
            <xdr:cNvPr id="14" name="Date (Month) 1">
              <a:extLst>
                <a:ext uri="{FF2B5EF4-FFF2-40B4-BE49-F238E27FC236}">
                  <a16:creationId xmlns:a16="http://schemas.microsoft.com/office/drawing/2014/main" id="{6BFF4C69-6615-48BD-AEAE-1207881E3B0F}"/>
                </a:ext>
              </a:extLst>
            </xdr:cNvPr>
            <xdr:cNvGraphicFramePr/>
          </xdr:nvGraphicFramePr>
          <xdr:xfrm>
            <a:off x="0" y="0"/>
            <a:ext cx="0" cy="0"/>
          </xdr:xfrm>
          <a:graphic>
            <a:graphicData uri="http://schemas.microsoft.com/office/drawing/2010/slicer">
              <sle:slicer xmlns:sle="http://schemas.microsoft.com/office/drawing/2010/slicer" name="Date (Month) 1"/>
            </a:graphicData>
          </a:graphic>
        </xdr:graphicFrame>
      </mc:Choice>
      <mc:Fallback>
        <xdr:sp macro="" textlink="">
          <xdr:nvSpPr>
            <xdr:cNvPr id="0" name=""/>
            <xdr:cNvSpPr>
              <a:spLocks noTextEdit="1"/>
            </xdr:cNvSpPr>
          </xdr:nvSpPr>
          <xdr:spPr>
            <a:xfrm>
              <a:off x="131621" y="983673"/>
              <a:ext cx="891450" cy="30479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235527</xdr:colOff>
      <xdr:row>6</xdr:row>
      <xdr:rowOff>145472</xdr:rowOff>
    </xdr:from>
    <xdr:to>
      <xdr:col>4</xdr:col>
      <xdr:colOff>332508</xdr:colOff>
      <xdr:row>11</xdr:row>
      <xdr:rowOff>27711</xdr:rowOff>
    </xdr:to>
    <xdr:graphicFrame macro="">
      <xdr:nvGraphicFramePr>
        <xdr:cNvPr id="18" name="Chart 17">
          <a:hlinkClick xmlns:r="http://schemas.openxmlformats.org/officeDocument/2006/relationships" r:id="rId8"/>
          <a:extLst>
            <a:ext uri="{FF2B5EF4-FFF2-40B4-BE49-F238E27FC236}">
              <a16:creationId xmlns:a16="http://schemas.microsoft.com/office/drawing/2014/main" id="{4E0B9957-DE9F-4F79-B490-B45EFA1C1A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152400</xdr:colOff>
      <xdr:row>6</xdr:row>
      <xdr:rowOff>76199</xdr:rowOff>
    </xdr:from>
    <xdr:to>
      <xdr:col>7</xdr:col>
      <xdr:colOff>117764</xdr:colOff>
      <xdr:row>11</xdr:row>
      <xdr:rowOff>164671</xdr:rowOff>
    </xdr:to>
    <xdr:graphicFrame macro="">
      <xdr:nvGraphicFramePr>
        <xdr:cNvPr id="24" name="Chart 23">
          <a:hlinkClick xmlns:r="http://schemas.openxmlformats.org/officeDocument/2006/relationships" r:id="rId10"/>
          <a:extLst>
            <a:ext uri="{FF2B5EF4-FFF2-40B4-BE49-F238E27FC236}">
              <a16:creationId xmlns:a16="http://schemas.microsoft.com/office/drawing/2014/main" id="{4CBE7C34-F59D-4B5F-9519-17D837A543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34637</xdr:colOff>
      <xdr:row>6</xdr:row>
      <xdr:rowOff>117763</xdr:rowOff>
    </xdr:from>
    <xdr:to>
      <xdr:col>9</xdr:col>
      <xdr:colOff>457200</xdr:colOff>
      <xdr:row>11</xdr:row>
      <xdr:rowOff>75600</xdr:rowOff>
    </xdr:to>
    <xdr:graphicFrame macro="">
      <xdr:nvGraphicFramePr>
        <xdr:cNvPr id="26" name="Chart 25">
          <a:hlinkClick xmlns:r="http://schemas.openxmlformats.org/officeDocument/2006/relationships" r:id="rId12"/>
          <a:extLst>
            <a:ext uri="{FF2B5EF4-FFF2-40B4-BE49-F238E27FC236}">
              <a16:creationId xmlns:a16="http://schemas.microsoft.com/office/drawing/2014/main" id="{A1062E3C-A34C-4599-90F9-B0A1AF43DF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498763</xdr:colOff>
          <xdr:row>11</xdr:row>
          <xdr:rowOff>83126</xdr:rowOff>
        </xdr:from>
        <xdr:to>
          <xdr:col>9</xdr:col>
          <xdr:colOff>359063</xdr:colOff>
          <xdr:row>14</xdr:row>
          <xdr:rowOff>107949</xdr:rowOff>
        </xdr:to>
        <xdr:pic>
          <xdr:nvPicPr>
            <xdr:cNvPr id="28" name="Picture 27">
              <a:extLst>
                <a:ext uri="{FF2B5EF4-FFF2-40B4-BE49-F238E27FC236}">
                  <a16:creationId xmlns:a16="http://schemas.microsoft.com/office/drawing/2014/main" id="{A4354572-F0AC-D61C-6E23-D99B103F2A38}"/>
                </a:ext>
              </a:extLst>
            </xdr:cNvPr>
            <xdr:cNvPicPr>
              <a:picLocks noChangeAspect="1" noChangeArrowheads="1"/>
              <a:extLst>
                <a:ext uri="{84589F7E-364E-4C9E-8A38-B11213B215E9}">
                  <a14:cameraTool cellRange="'Pivot Report'!$A$47:$D$49" spid="_x0000_s1032"/>
                </a:ext>
              </a:extLst>
            </xdr:cNvPicPr>
          </xdr:nvPicPr>
          <xdr:blipFill>
            <a:blip xmlns:r="http://schemas.openxmlformats.org/officeDocument/2006/relationships" r:embed="rId14"/>
            <a:srcRect/>
            <a:stretch>
              <a:fillRect/>
            </a:stretch>
          </xdr:blipFill>
          <xdr:spPr bwMode="auto">
            <a:xfrm>
              <a:off x="1184563" y="2064326"/>
              <a:ext cx="4737100" cy="56515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contourClr>
                <a:srgbClr val="969696"/>
              </a:contourClr>
            </a:sp3d>
            <a:extLst>
              <a:ext uri="{909E8E84-426E-40DD-AFC4-6F175D3DCCD1}">
                <a14:hiddenFill>
                  <a:solidFill>
                    <a:srgbClr val="FFFFFF"/>
                  </a:solidFill>
                </a14:hiddenFill>
              </a:ext>
            </a:extLst>
          </xdr:spPr>
        </xdr:pic>
        <xdr:clientData/>
      </xdr:twoCellAnchor>
    </mc:Choice>
    <mc:Fallback/>
  </mc:AlternateContent>
  <xdr:twoCellAnchor>
    <xdr:from>
      <xdr:col>1</xdr:col>
      <xdr:colOff>505691</xdr:colOff>
      <xdr:row>14</xdr:row>
      <xdr:rowOff>103908</xdr:rowOff>
    </xdr:from>
    <xdr:to>
      <xdr:col>9</xdr:col>
      <xdr:colOff>200891</xdr:colOff>
      <xdr:row>22</xdr:row>
      <xdr:rowOff>0</xdr:rowOff>
    </xdr:to>
    <xdr:graphicFrame macro="">
      <xdr:nvGraphicFramePr>
        <xdr:cNvPr id="30" name="Chart 29">
          <a:extLst>
            <a:ext uri="{FF2B5EF4-FFF2-40B4-BE49-F238E27FC236}">
              <a16:creationId xmlns:a16="http://schemas.microsoft.com/office/drawing/2014/main" id="{2208334C-857F-493B-88F6-3559E6CCB0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2</xdr:col>
      <xdr:colOff>602672</xdr:colOff>
      <xdr:row>21</xdr:row>
      <xdr:rowOff>34636</xdr:rowOff>
    </xdr:from>
    <xdr:to>
      <xdr:col>7</xdr:col>
      <xdr:colOff>429492</xdr:colOff>
      <xdr:row>22</xdr:row>
      <xdr:rowOff>145472</xdr:rowOff>
    </xdr:to>
    <xdr:sp macro="" textlink="">
      <xdr:nvSpPr>
        <xdr:cNvPr id="32" name="TextBox 31">
          <a:extLst>
            <a:ext uri="{FF2B5EF4-FFF2-40B4-BE49-F238E27FC236}">
              <a16:creationId xmlns:a16="http://schemas.microsoft.com/office/drawing/2014/main" id="{C0F4FB85-AEC5-4013-96A2-54B4E43B8888}"/>
            </a:ext>
          </a:extLst>
        </xdr:cNvPr>
        <xdr:cNvSpPr txBox="1"/>
      </xdr:nvSpPr>
      <xdr:spPr>
        <a:xfrm>
          <a:off x="1898072" y="3816927"/>
          <a:ext cx="2874820" cy="290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200">
              <a:solidFill>
                <a:schemeClr val="tx1"/>
              </a:solidFill>
            </a:rPr>
            <a:t>No</a:t>
          </a:r>
          <a:r>
            <a:rPr lang="en-IN" sz="1200" baseline="0">
              <a:solidFill>
                <a:schemeClr val="tx1"/>
              </a:solidFill>
            </a:rPr>
            <a:t>. of patients by age</a:t>
          </a:r>
          <a:endParaRPr lang="en-IN" sz="1200">
            <a:solidFill>
              <a:schemeClr val="tx1"/>
            </a:solidFill>
          </a:endParaRPr>
        </a:p>
      </xdr:txBody>
    </xdr:sp>
    <xdr:clientData/>
  </xdr:twoCellAnchor>
  <xdr:twoCellAnchor>
    <xdr:from>
      <xdr:col>9</xdr:col>
      <xdr:colOff>443345</xdr:colOff>
      <xdr:row>0</xdr:row>
      <xdr:rowOff>90055</xdr:rowOff>
    </xdr:from>
    <xdr:to>
      <xdr:col>12</xdr:col>
      <xdr:colOff>180108</xdr:colOff>
      <xdr:row>7</xdr:row>
      <xdr:rowOff>124691</xdr:rowOff>
    </xdr:to>
    <xdr:graphicFrame macro="">
      <xdr:nvGraphicFramePr>
        <xdr:cNvPr id="33" name="Chart 32">
          <a:extLst>
            <a:ext uri="{FF2B5EF4-FFF2-40B4-BE49-F238E27FC236}">
              <a16:creationId xmlns:a16="http://schemas.microsoft.com/office/drawing/2014/main" id="{9E93CDAF-A05E-4915-9C77-FD6157D57F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9</xdr:col>
      <xdr:colOff>224445</xdr:colOff>
      <xdr:row>7</xdr:row>
      <xdr:rowOff>76894</xdr:rowOff>
    </xdr:from>
    <xdr:to>
      <xdr:col>12</xdr:col>
      <xdr:colOff>339437</xdr:colOff>
      <xdr:row>9</xdr:row>
      <xdr:rowOff>6928</xdr:rowOff>
    </xdr:to>
    <xdr:sp macro="" textlink="">
      <xdr:nvSpPr>
        <xdr:cNvPr id="34" name="TextBox 33">
          <a:extLst>
            <a:ext uri="{FF2B5EF4-FFF2-40B4-BE49-F238E27FC236}">
              <a16:creationId xmlns:a16="http://schemas.microsoft.com/office/drawing/2014/main" id="{C53014D3-6771-4627-9689-227B0BDFB63F}"/>
            </a:ext>
          </a:extLst>
        </xdr:cNvPr>
        <xdr:cNvSpPr txBox="1"/>
      </xdr:nvSpPr>
      <xdr:spPr>
        <a:xfrm>
          <a:off x="5787045" y="1337658"/>
          <a:ext cx="1943792" cy="290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000">
              <a:solidFill>
                <a:schemeClr val="tx1"/>
              </a:solidFill>
            </a:rPr>
            <a:t>Patient</a:t>
          </a:r>
          <a:r>
            <a:rPr lang="en-IN" sz="1000" baseline="0">
              <a:solidFill>
                <a:schemeClr val="tx1"/>
              </a:solidFill>
            </a:rPr>
            <a:t> attended within time</a:t>
          </a:r>
          <a:endParaRPr lang="en-IN" sz="1000">
            <a:solidFill>
              <a:schemeClr val="tx1"/>
            </a:solidFill>
          </a:endParaRPr>
        </a:p>
      </xdr:txBody>
    </xdr:sp>
    <xdr:clientData/>
  </xdr:twoCellAnchor>
  <xdr:twoCellAnchor>
    <xdr:from>
      <xdr:col>12</xdr:col>
      <xdr:colOff>236913</xdr:colOff>
      <xdr:row>0</xdr:row>
      <xdr:rowOff>0</xdr:rowOff>
    </xdr:from>
    <xdr:to>
      <xdr:col>18</xdr:col>
      <xdr:colOff>65463</xdr:colOff>
      <xdr:row>18</xdr:row>
      <xdr:rowOff>20781</xdr:rowOff>
    </xdr:to>
    <xdr:graphicFrame macro="">
      <xdr:nvGraphicFramePr>
        <xdr:cNvPr id="35" name="Chart 34">
          <a:extLst>
            <a:ext uri="{FF2B5EF4-FFF2-40B4-BE49-F238E27FC236}">
              <a16:creationId xmlns:a16="http://schemas.microsoft.com/office/drawing/2014/main" id="{6B7511C0-B641-4958-99CA-8A14A73D4B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11</xdr:col>
      <xdr:colOff>249381</xdr:colOff>
      <xdr:row>7</xdr:row>
      <xdr:rowOff>90054</xdr:rowOff>
    </xdr:from>
    <xdr:to>
      <xdr:col>17</xdr:col>
      <xdr:colOff>491837</xdr:colOff>
      <xdr:row>9</xdr:row>
      <xdr:rowOff>20781</xdr:rowOff>
    </xdr:to>
    <xdr:sp macro="" textlink="">
      <xdr:nvSpPr>
        <xdr:cNvPr id="36" name="TextBox 35">
          <a:extLst>
            <a:ext uri="{FF2B5EF4-FFF2-40B4-BE49-F238E27FC236}">
              <a16:creationId xmlns:a16="http://schemas.microsoft.com/office/drawing/2014/main" id="{27FDB2A5-6457-4AC5-BA89-11173FF54B5B}"/>
            </a:ext>
          </a:extLst>
        </xdr:cNvPr>
        <xdr:cNvSpPr txBox="1"/>
      </xdr:nvSpPr>
      <xdr:spPr>
        <a:xfrm>
          <a:off x="7031181" y="1350818"/>
          <a:ext cx="2874820" cy="290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000">
              <a:solidFill>
                <a:schemeClr val="tx1"/>
              </a:solidFill>
            </a:rPr>
            <a:t>Gender wise</a:t>
          </a:r>
          <a:r>
            <a:rPr lang="en-IN" sz="1000" baseline="0">
              <a:solidFill>
                <a:schemeClr val="tx1"/>
              </a:solidFill>
            </a:rPr>
            <a:t> analysis</a:t>
          </a:r>
          <a:endParaRPr lang="en-IN" sz="1000">
            <a:solidFill>
              <a:schemeClr val="tx1"/>
            </a:solidFill>
          </a:endParaRPr>
        </a:p>
      </xdr:txBody>
    </xdr:sp>
    <xdr:clientData/>
  </xdr:twoCellAnchor>
  <xdr:twoCellAnchor>
    <xdr:from>
      <xdr:col>9</xdr:col>
      <xdr:colOff>418407</xdr:colOff>
      <xdr:row>9</xdr:row>
      <xdr:rowOff>90749</xdr:rowOff>
    </xdr:from>
    <xdr:to>
      <xdr:col>15</xdr:col>
      <xdr:colOff>76200</xdr:colOff>
      <xdr:row>22</xdr:row>
      <xdr:rowOff>41565</xdr:rowOff>
    </xdr:to>
    <xdr:graphicFrame macro="">
      <xdr:nvGraphicFramePr>
        <xdr:cNvPr id="37" name="Chart 36">
          <a:extLst>
            <a:ext uri="{FF2B5EF4-FFF2-40B4-BE49-F238E27FC236}">
              <a16:creationId xmlns:a16="http://schemas.microsoft.com/office/drawing/2014/main" id="{CBD09175-26A2-4421-8474-5B9B8AD418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9</xdr:col>
      <xdr:colOff>526472</xdr:colOff>
      <xdr:row>21</xdr:row>
      <xdr:rowOff>27710</xdr:rowOff>
    </xdr:from>
    <xdr:to>
      <xdr:col>14</xdr:col>
      <xdr:colOff>353292</xdr:colOff>
      <xdr:row>22</xdr:row>
      <xdr:rowOff>138546</xdr:rowOff>
    </xdr:to>
    <xdr:sp macro="" textlink="">
      <xdr:nvSpPr>
        <xdr:cNvPr id="38" name="TextBox 37">
          <a:extLst>
            <a:ext uri="{FF2B5EF4-FFF2-40B4-BE49-F238E27FC236}">
              <a16:creationId xmlns:a16="http://schemas.microsoft.com/office/drawing/2014/main" id="{33E7DC0A-85A6-4003-B329-C4E8961E5AC6}"/>
            </a:ext>
          </a:extLst>
        </xdr:cNvPr>
        <xdr:cNvSpPr txBox="1"/>
      </xdr:nvSpPr>
      <xdr:spPr>
        <a:xfrm>
          <a:off x="6089072" y="3810001"/>
          <a:ext cx="2874820" cy="290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200">
              <a:solidFill>
                <a:schemeClr val="tx1"/>
              </a:solidFill>
            </a:rPr>
            <a:t>No</a:t>
          </a:r>
          <a:r>
            <a:rPr lang="en-IN" sz="1200" baseline="0">
              <a:solidFill>
                <a:schemeClr val="tx1"/>
              </a:solidFill>
            </a:rPr>
            <a:t>. of patients by department referal</a:t>
          </a:r>
          <a:endParaRPr lang="en-IN" sz="1200">
            <a:solidFill>
              <a:schemeClr val="tx1"/>
            </a:solidFill>
          </a:endParaRPr>
        </a:p>
      </xdr:txBody>
    </xdr:sp>
    <xdr:clientData/>
  </xdr:twoCellAnchor>
  <xdr:twoCellAnchor editAs="oneCell">
    <xdr:from>
      <xdr:col>6</xdr:col>
      <xdr:colOff>574962</xdr:colOff>
      <xdr:row>0</xdr:row>
      <xdr:rowOff>152402</xdr:rowOff>
    </xdr:from>
    <xdr:to>
      <xdr:col>9</xdr:col>
      <xdr:colOff>346364</xdr:colOff>
      <xdr:row>4</xdr:row>
      <xdr:rowOff>62346</xdr:rowOff>
    </xdr:to>
    <mc:AlternateContent xmlns:mc="http://schemas.openxmlformats.org/markup-compatibility/2006">
      <mc:Choice xmlns:a14="http://schemas.microsoft.com/office/drawing/2010/main" Requires="a14">
        <xdr:graphicFrame macro="">
          <xdr:nvGraphicFramePr>
            <xdr:cNvPr id="39" name="Date (Year) 1">
              <a:extLst>
                <a:ext uri="{FF2B5EF4-FFF2-40B4-BE49-F238E27FC236}">
                  <a16:creationId xmlns:a16="http://schemas.microsoft.com/office/drawing/2014/main" id="{3C2FADC6-EA53-4CEB-8EA9-9E1783A043EA}"/>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dr:sp macro="" textlink="">
          <xdr:nvSpPr>
            <xdr:cNvPr id="0" name=""/>
            <xdr:cNvSpPr>
              <a:spLocks noTextEdit="1"/>
            </xdr:cNvSpPr>
          </xdr:nvSpPr>
          <xdr:spPr>
            <a:xfrm>
              <a:off x="4308762" y="152402"/>
              <a:ext cx="1600202" cy="6303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30480</xdr:colOff>
      <xdr:row>15</xdr:row>
      <xdr:rowOff>0</xdr:rowOff>
    </xdr:to>
    <xdr:graphicFrame macro="">
      <xdr:nvGraphicFramePr>
        <xdr:cNvPr id="2" name="Chart 1">
          <a:extLst>
            <a:ext uri="{FF2B5EF4-FFF2-40B4-BE49-F238E27FC236}">
              <a16:creationId xmlns:a16="http://schemas.microsoft.com/office/drawing/2014/main" id="{EFC505AD-7171-4D24-B2F2-4D50D30F55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xdr:colOff>
      <xdr:row>0</xdr:row>
      <xdr:rowOff>0</xdr:rowOff>
    </xdr:from>
    <xdr:to>
      <xdr:col>1</xdr:col>
      <xdr:colOff>15240</xdr:colOff>
      <xdr:row>3</xdr:row>
      <xdr:rowOff>60960</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B1287CCC-DE00-1BB1-289C-6094A05D50B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 y="0"/>
          <a:ext cx="609600" cy="609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0</xdr:row>
      <xdr:rowOff>0</xdr:rowOff>
    </xdr:from>
    <xdr:to>
      <xdr:col>16</xdr:col>
      <xdr:colOff>243840</xdr:colOff>
      <xdr:row>16</xdr:row>
      <xdr:rowOff>7620</xdr:rowOff>
    </xdr:to>
    <xdr:graphicFrame macro="">
      <xdr:nvGraphicFramePr>
        <xdr:cNvPr id="2" name="Chart 1">
          <a:extLst>
            <a:ext uri="{FF2B5EF4-FFF2-40B4-BE49-F238E27FC236}">
              <a16:creationId xmlns:a16="http://schemas.microsoft.com/office/drawing/2014/main" id="{02C39046-DE56-471E-88F0-AECEC5120A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0</xdr:col>
      <xdr:colOff>541020</xdr:colOff>
      <xdr:row>2</xdr:row>
      <xdr:rowOff>175260</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B38C2819-0DC6-0D6E-9F4D-670861FCCD0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0" y="0"/>
          <a:ext cx="541020" cy="5410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441960</xdr:colOff>
      <xdr:row>15</xdr:row>
      <xdr:rowOff>0</xdr:rowOff>
    </xdr:to>
    <xdr:graphicFrame macro="">
      <xdr:nvGraphicFramePr>
        <xdr:cNvPr id="2" name="Chart 1">
          <a:extLst>
            <a:ext uri="{FF2B5EF4-FFF2-40B4-BE49-F238E27FC236}">
              <a16:creationId xmlns:a16="http://schemas.microsoft.com/office/drawing/2014/main" id="{ECD64E4E-A064-46AA-9FA4-2AAB8384F5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cdr:x>
      <cdr:y>0</cdr:y>
    </cdr:from>
    <cdr:to>
      <cdr:x>0.04849</cdr:x>
      <cdr:y>0.16944</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BEBD4E60-DA1B-CF9C-298F-428E5B3E0AB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464820" cy="464820"/>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ejas k m" refreshedDate="46275.650433680552" createdVersion="5" refreshedVersion="8" minRefreshableVersion="3" recordCount="0" supportSubquery="1" supportAdvancedDrill="1" xr:uid="{902255F5-4EFD-4099-9C18-320133B68C98}">
  <cacheSource type="external" connectionId="3"/>
  <cacheFields count="4">
    <cacheField name="[calender_table].[Date (Month)].[Date (Month)]" caption="Date (Month)" numFmtId="0" hierarchy="1" level="1">
      <sharedItems count="1">
        <s v="Apr"/>
      </sharedItems>
    </cacheField>
    <cacheField name="[calender_table].[Date].[Date]" caption="Date" numFmtId="0" level="1">
      <sharedItems containsSemiMixedTypes="0" containsNonDate="0" containsDate="1" containsString="0" minDate="2023-04-01T00:00:00" maxDate="2024-05-01T00:00:00" count="60">
        <d v="2023-04-01T00:00:00"/>
        <d v="2023-04-02T00:00:00"/>
        <d v="2023-04-03T00:00:00"/>
        <d v="2023-04-04T00:00:00"/>
        <d v="2023-04-05T00:00:00"/>
        <d v="2023-04-06T00:00:00"/>
        <d v="2023-04-07T00:00:00"/>
        <d v="2023-04-08T00:00:00"/>
        <d v="2023-04-09T00:00:00"/>
        <d v="2023-04-10T00:00:00"/>
        <d v="2023-04-11T00:00:00"/>
        <d v="2023-04-12T00:00:00"/>
        <d v="2023-04-13T00:00:00"/>
        <d v="2023-04-14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29T00:00:00"/>
        <d v="2023-04-30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sharedItems>
    </cacheField>
    <cacheField name="[calender_table].[Date (Quarter)].[Date (Quarter)]" caption="Date (Quarter)" numFmtId="0" hierarchy="4" level="1">
      <sharedItems count="1">
        <s v="Qtr2"/>
      </sharedItems>
    </cacheField>
    <cacheField name="[calender_table].[Date (Year)].[Date (Year)]" caption="Date (Year)" numFmtId="0" hierarchy="3" level="1">
      <sharedItems count="1">
        <s v="2023"/>
      </sharedItems>
    </cacheField>
  </cacheFields>
  <cacheHierarchies count="36">
    <cacheHierarchy uniqueName="[calender_table].[Date]" caption="Date" attribute="1" time="1" defaultMemberUniqueName="[calender_table].[Date].[All]" allUniqueName="[calender_table].[Date].[All]" dimensionUniqueName="[calender_table]" displayFolder="" count="2" memberValueDatatype="7" unbalanced="0">
      <fieldsUsage count="2">
        <fieldUsage x="-1"/>
        <fieldUsage x="1"/>
      </fieldsUsage>
    </cacheHierarchy>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2" memberValueDatatype="130" unbalanced="0">
      <fieldsUsage count="2">
        <fieldUsage x="-1"/>
        <fieldUsage x="2"/>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calender_table].[Date (Day Index)]" caption="Date (Day Index)" attribute="1" defaultMemberUniqueName="[calender_table].[Date (Day Index)].[All]" allUniqueName="[calender_table].[Date (Day Index)].[All]" dimensionUniqueName="[calender_table]" displayFolder="" count="2"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ejas k m" refreshedDate="46275.650433912037" createdVersion="5" refreshedVersion="8" minRefreshableVersion="3" recordCount="0" supportSubquery="1" supportAdvancedDrill="1" xr:uid="{A48F62A8-5752-436D-B618-E924D60D621B}">
  <cacheSource type="external" connectionId="3"/>
  <cacheFields count="3">
    <cacheField name="[Measures].[Count of Patient Id]" caption="Count of Patient Id" numFmtId="0" hierarchy="23" level="32767"/>
    <cacheField name="[calender_table].[Date (Month)].[Date (Month)]" caption="Date (Month)" numFmtId="0" hierarchy="1" level="1">
      <sharedItems containsSemiMixedTypes="0" containsNonDate="0" containsString="0"/>
    </cacheField>
    <cacheField name="[calender_table].[Date (Year)].[Date (Year)]" caption="Date (Year)" numFmtId="0" hierarchy="3"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ejas k m" refreshedDate="46275.65043425926" createdVersion="5" refreshedVersion="8" minRefreshableVersion="3" recordCount="0" supportSubquery="1" supportAdvancedDrill="1" xr:uid="{C618E9AF-55B4-4CB2-A719-49C3381370DB}">
  <cacheSource type="external" connectionId="3"/>
  <cacheFields count="4">
    <cacheField name="[calender_table].[Date (Month)].[Date (Month)]" caption="Date (Month)" numFmtId="0" hierarchy="1" level="1">
      <sharedItems containsSemiMixedTypes="0" containsNonDate="0" containsString="0"/>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34" level="32767"/>
    <cacheField name="[calender_table].[Date (Year)].[Date (Year)]" caption="Date (Year)" numFmtId="0" hierarchy="3"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ejas k m" refreshedDate="46275.650434953706" createdVersion="5" refreshedVersion="8" minRefreshableVersion="3" recordCount="0" supportSubquery="1" supportAdvancedDrill="1" xr:uid="{547AD085-106E-4D0B-BDF0-DE283E0DE7F4}">
  <cacheSource type="external" connectionId="3"/>
  <cacheFields count="4">
    <cacheField name="[calender_table].[Date (Month)].[Date (Month)]" caption="Date (Month)" numFmtId="0" hierarchy="1" level="1">
      <sharedItems containsSemiMixedTypes="0" containsNonDate="0" containsString="0"/>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Department Referral]" caption="Count of Department Referral" numFmtId="0" hierarchy="35" level="32767"/>
    <cacheField name="[calender_table].[Date (Year)].[Date (Year)]" caption="Date (Year)" numFmtId="0" hierarchy="3"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oneField="1" hidden="1">
      <fieldsUsage count="1">
        <fieldUsage x="2"/>
      </fieldsUsage>
      <extLst>
        <ext xmlns:x15="http://schemas.microsoft.com/office/spreadsheetml/2010/11/main" uri="{B97F6D7D-B522-45F9-BDA1-12C45D357490}">
          <x15:cacheHierarchy aggregatedColumn="12"/>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ejas k m" refreshedDate="46275.65043530093" createdVersion="5" refreshedVersion="8" minRefreshableVersion="3" recordCount="0" supportSubquery="1" supportAdvancedDrill="1" xr:uid="{354D6657-F191-44F0-ACEA-E3A536FD0059}">
  <cacheSource type="external" connectionId="3"/>
  <cacheFields count="3">
    <cacheField name="[Measures].[Average of Patient Waittime]" caption="Average of Patient Waittime" numFmtId="0" hierarchy="25" level="32767"/>
    <cacheField name="[calender_table].[Date (Month)].[Date (Month)]" caption="Date (Month)" numFmtId="0" hierarchy="1" level="1">
      <sharedItems containsSemiMixedTypes="0" containsNonDate="0" containsString="0"/>
    </cacheField>
    <cacheField name="[calender_table].[Date (Year)].[Date (Year)]" caption="Date (Year)" numFmtId="0" hierarchy="3"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ejas k m" refreshedDate="46275.650435532407" createdVersion="5" refreshedVersion="8" minRefreshableVersion="3" recordCount="0" supportSubquery="1" supportAdvancedDrill="1" xr:uid="{5B6D0F1E-D663-44CD-8BD4-77300369E69D}">
  <cacheSource type="external" connectionId="3"/>
  <cacheFields count="3">
    <cacheField name="[Measures].[Average of Patient Satisfaction Score]" caption="Average of Patient Satisfaction Score" numFmtId="0" hierarchy="27" level="32767"/>
    <cacheField name="[calender_table].[Date (Month)].[Date (Month)]" caption="Date (Month)" numFmtId="0" hierarchy="1" level="1">
      <sharedItems containsSemiMixedTypes="0" containsNonDate="0" containsString="0"/>
    </cacheField>
    <cacheField name="[calender_table].[Date (Year)].[Date (Year)]" caption="Date (Year)" numFmtId="0" hierarchy="3"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ejas k m" refreshedDate="46275.650436111115" createdVersion="5" refreshedVersion="8" minRefreshableVersion="3" recordCount="0" supportSubquery="1" supportAdvancedDrill="1" xr:uid="{D9F16BE6-5452-4080-B350-F41D19D7839C}">
  <cacheSource type="external" connectionId="3"/>
  <cacheFields count="4">
    <cacheField name="[Measures].[Count of Patient Id]" caption="Count of Patient Id" numFmtId="0" hierarchy="23" level="32767"/>
    <cacheField name="[calender_table].[Date (Day)].[Date (Day)]" caption="Date (Day)" numFmtId="0" hierarchy="2" level="1">
      <sharedItems count="30">
        <s v="1-Apr"/>
        <s v="2-Apr"/>
        <s v="3-Apr"/>
        <s v="4-Apr"/>
        <s v="5-Apr"/>
        <s v="6-Apr"/>
        <s v="7-Apr"/>
        <s v="8-Apr"/>
        <s v="9-Apr"/>
        <s v="10-Apr"/>
        <s v="11-Apr"/>
        <s v="12-Apr"/>
        <s v="13-Apr"/>
        <s v="14-Apr"/>
        <s v="15-Apr"/>
        <s v="16-Apr"/>
        <s v="17-Apr"/>
        <s v="18-Apr"/>
        <s v="19-Apr"/>
        <s v="20-Apr"/>
        <s v="21-Apr"/>
        <s v="22-Apr"/>
        <s v="23-Apr"/>
        <s v="24-Apr"/>
        <s v="25-Apr"/>
        <s v="26-Apr"/>
        <s v="27-Apr"/>
        <s v="28-Apr"/>
        <s v="29-Apr"/>
        <s v="30-Apr"/>
      </sharedItems>
    </cacheField>
    <cacheField name="[calender_table].[Date (Month)].[Date (Month)]" caption="Date (Month)" numFmtId="0" hierarchy="1" level="1">
      <sharedItems containsSemiMixedTypes="0" containsNonDate="0" containsString="0"/>
    </cacheField>
    <cacheField name="[calender_table].[Date (Year)].[Date (Year)]" caption="Date (Year)" numFmtId="0" hierarchy="3"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2"/>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1"/>
      </fieldsUsage>
    </cacheHierarchy>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ejas k m" refreshedDate="46275.650436805554" createdVersion="5" refreshedVersion="8" minRefreshableVersion="3" recordCount="0" supportSubquery="1" supportAdvancedDrill="1" xr:uid="{39BA71E5-9570-4E6D-9067-ABC7CF241BB8}">
  <cacheSource type="external" connectionId="3"/>
  <cacheFields count="4">
    <cacheField name="[calender_table].[Date (Day)].[Date (Day)]" caption="Date (Day)" numFmtId="0" hierarchy="2" level="1">
      <sharedItems count="30">
        <s v="1-Apr"/>
        <s v="2-Apr"/>
        <s v="3-Apr"/>
        <s v="4-Apr"/>
        <s v="5-Apr"/>
        <s v="6-Apr"/>
        <s v="7-Apr"/>
        <s v="8-Apr"/>
        <s v="9-Apr"/>
        <s v="10-Apr"/>
        <s v="11-Apr"/>
        <s v="12-Apr"/>
        <s v="13-Apr"/>
        <s v="14-Apr"/>
        <s v="15-Apr"/>
        <s v="16-Apr"/>
        <s v="17-Apr"/>
        <s v="18-Apr"/>
        <s v="19-Apr"/>
        <s v="20-Apr"/>
        <s v="21-Apr"/>
        <s v="22-Apr"/>
        <s v="23-Apr"/>
        <s v="24-Apr"/>
        <s v="25-Apr"/>
        <s v="26-Apr"/>
        <s v="27-Apr"/>
        <s v="28-Apr"/>
        <s v="29-Apr"/>
        <s v="30-Apr"/>
      </sharedItems>
    </cacheField>
    <cacheField name="[calender_table].[Date (Month)].[Date (Month)]" caption="Date (Month)" numFmtId="0" hierarchy="1" level="1">
      <sharedItems containsSemiMixedTypes="0" containsNonDate="0" containsString="0"/>
    </cacheField>
    <cacheField name="[Measures].[Average of Patient Waittime]" caption="Average of Patient Waittime" numFmtId="0" hierarchy="25" level="32767"/>
    <cacheField name="[calender_table].[Date (Year)].[Date (Year)]" caption="Date (Year)" numFmtId="0" hierarchy="3"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0"/>
      </fieldsUsage>
    </cacheHierarchy>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ejas k m" refreshedDate="46275.6504375" createdVersion="5" refreshedVersion="8" minRefreshableVersion="3" recordCount="0" supportSubquery="1" supportAdvancedDrill="1" xr:uid="{CDD6C680-FA1A-4AA0-92D6-96AAA43799D5}">
  <cacheSource type="external" connectionId="3"/>
  <cacheFields count="4">
    <cacheField name="[calender_table].[Date (Day)].[Date (Day)]" caption="Date (Day)" numFmtId="0" hierarchy="2" level="1">
      <sharedItems count="30">
        <s v="1-Apr"/>
        <s v="2-Apr"/>
        <s v="3-Apr"/>
        <s v="4-Apr"/>
        <s v="5-Apr"/>
        <s v="6-Apr"/>
        <s v="7-Apr"/>
        <s v="8-Apr"/>
        <s v="9-Apr"/>
        <s v="10-Apr"/>
        <s v="11-Apr"/>
        <s v="12-Apr"/>
        <s v="13-Apr"/>
        <s v="14-Apr"/>
        <s v="15-Apr"/>
        <s v="16-Apr"/>
        <s v="17-Apr"/>
        <s v="18-Apr"/>
        <s v="19-Apr"/>
        <s v="20-Apr"/>
        <s v="21-Apr"/>
        <s v="22-Apr"/>
        <s v="23-Apr"/>
        <s v="24-Apr"/>
        <s v="25-Apr"/>
        <s v="26-Apr"/>
        <s v="27-Apr"/>
        <s v="28-Apr"/>
        <s v="29-Apr"/>
        <s v="30-Apr"/>
      </sharedItems>
    </cacheField>
    <cacheField name="[calender_table].[Date (Month)].[Date (Month)]" caption="Date (Month)" numFmtId="0" hierarchy="1" level="1">
      <sharedItems containsSemiMixedTypes="0" containsNonDate="0" containsString="0"/>
    </cacheField>
    <cacheField name="[Measures].[Average of Patient Satisfaction Score]" caption="Average of Patient Satisfaction Score" numFmtId="0" hierarchy="27" level="32767"/>
    <cacheField name="[calender_table].[Date (Year)].[Date (Year)]" caption="Date (Year)" numFmtId="0" hierarchy="3"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0"/>
      </fieldsUsage>
    </cacheHierarchy>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2"/>
      </fieldsUsage>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ejas k m" refreshedDate="46275.650438310186" createdVersion="5" refreshedVersion="8" minRefreshableVersion="3" recordCount="0" supportSubquery="1" supportAdvancedDrill="1" xr:uid="{53B2FFCC-7C1D-4381-AEB6-CC1487328FAC}">
  <cacheSource type="external" connectionId="3"/>
  <cacheFields count="5">
    <cacheField name="[calender_table].[Date (Month)].[Date (Month)]" caption="Date (Month)" numFmtId="0" hierarchy="1" level="1">
      <sharedItems containsSemiMixedTypes="0" containsNonDate="0" containsString="0"/>
    </cacheField>
    <cacheField name="[Hospital Emergency Room Data].[Patient Admission Flag].[Patient Admission Flag]" caption="Patient Admission Flag" numFmtId="0" hierarchy="13" level="1">
      <sharedItems count="2">
        <s v="Admitted"/>
        <s v="Not admitted"/>
      </sharedItems>
    </cacheField>
    <cacheField name="[Measures].[Count of Patient Admission Flag]" caption="Count of Patient Admission Flag" numFmtId="0" hierarchy="29" level="32767"/>
    <cacheField name="[calender_table].[Date (Year)].[Date (Year)]" caption="Date (Year)" numFmtId="0" hierarchy="3" level="1">
      <sharedItems containsSemiMixedTypes="0" containsNonDate="0" containsString="0"/>
    </cacheField>
    <cacheField name="Unsupported0" numFmtId="0" hierarchy="36" level="32767">
      <extLst>
        <ext xmlns:x14="http://schemas.microsoft.com/office/spreadsheetml/2009/9/main" uri="{63CAB8AC-B538-458d-9737-405883B0398D}">
          <x14:cacheField ignore="1"/>
        </ext>
      </extLst>
    </cacheField>
  </cacheFields>
  <cacheHierarchies count="37">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1"/>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Flag]" caption="Count of Patient Admission Flag" measure="1" displayFolder="" measureGroup="Hospital Emergency Room Data"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ejas k m" refreshedDate="46275.650438888886" createdVersion="5" refreshedVersion="8" minRefreshableVersion="3" recordCount="0" supportSubquery="1" supportAdvancedDrill="1" xr:uid="{696AEB6F-01C1-45CD-8D1E-AFF0ED74231F}">
  <cacheSource type="external" connectionId="3"/>
  <cacheFields count="4">
    <cacheField name="[calender_table].[Date (Month)].[Date (Month)]" caption="Date (Month)" numFmtId="0" hierarchy="1" level="1">
      <sharedItems containsSemiMixedTypes="0" containsNonDate="0" containsString="0"/>
    </cacheField>
    <cacheField name="[Hospital Emergency Room Data].[Age group].[Age group]" caption="Age group" numFmtId="0" hierarchy="16" level="1">
      <sharedItems count="8">
        <s v="0-9"/>
        <s v="10-19"/>
        <s v="20-29"/>
        <s v="30-39"/>
        <s v="40-49"/>
        <s v="50-59"/>
        <s v="60-69"/>
        <s v="70-79"/>
      </sharedItems>
    </cacheField>
    <cacheField name="[Measures].[Count of Patient Age]" caption="Count of Patient Age" numFmtId="0" hierarchy="32" level="32767"/>
    <cacheField name="[calender_table].[Date (Year)].[Date (Year)]" caption="Date (Year)" numFmtId="0" hierarchy="3"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fieldsUsage count="2">
        <fieldUsage x="-1"/>
        <fieldUsage x="1"/>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ge]" caption="Count of Patient Age" measure="1" displayFolder="" measureGroup="Hospital Emergency Room Data" count="0" oneField="1" hidden="1">
      <fieldsUsage count="1">
        <fieldUsage x="2"/>
      </fieldsUsage>
      <extLst>
        <ext xmlns:x15="http://schemas.microsoft.com/office/spreadsheetml/2010/11/main" uri="{B97F6D7D-B522-45F9-BDA1-12C45D357490}">
          <x15:cacheHierarchy aggregatedColumn="10"/>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ejas k m" refreshedDate="46275.650439467594" createdVersion="5" refreshedVersion="8" minRefreshableVersion="3" recordCount="0" supportSubquery="1" supportAdvancedDrill="1" xr:uid="{8F8C42ED-4F81-4A18-A970-8D3E37FB8BF5}">
  <cacheSource type="external" connectionId="3"/>
  <cacheFields count="4">
    <cacheField name="[calender_table].[Date (Month)].[Date (Month)]" caption="Date (Month)" numFmtId="0" hierarchy="1" level="1">
      <sharedItems containsSemiMixedTypes="0" containsNonDate="0" containsString="0"/>
    </cacheField>
    <cacheField name="[Hospital Emergency Room Data].[Patient attend status].[Patient attend status]" caption="Patient attend status" numFmtId="0" hierarchy="17" level="1">
      <sharedItems count="2">
        <s v="Delay"/>
        <s v="Ontime"/>
      </sharedItems>
    </cacheField>
    <cacheField name="[Measures].[Count of Patient attend status]" caption="Count of Patient attend status" numFmtId="0" hierarchy="33" level="32767"/>
    <cacheField name="[calender_table].[Date (Year)].[Date (Year)]" caption="Date (Year)" numFmtId="0" hierarchy="3"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fieldsUsage count="2">
        <fieldUsage x="-1"/>
        <fieldUsage x="1"/>
      </fieldsUsage>
    </cacheHierarchy>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ttend status]" caption="Count of Patient attend status" measure="1" displayFolder="" measureGroup="Hospital Emergency Room Data" count="0" oneField="1" hidden="1">
      <fieldsUsage count="1">
        <fieldUsage x="2"/>
      </fieldsUsage>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ejas k m" refreshedDate="46275.647173379628" createdVersion="3" refreshedVersion="8" minRefreshableVersion="3" recordCount="0" supportSubquery="1" supportAdvancedDrill="1" xr:uid="{A24E88C9-29E2-411E-B13E-107A2752BBA8}">
  <cacheSource type="external" connectionId="3">
    <extLst>
      <ext xmlns:x14="http://schemas.microsoft.com/office/spreadsheetml/2009/9/main" uri="{F057638F-6D5F-4e77-A914-E7F072B9BCA8}">
        <x14:sourceConnection name="ThisWorkbookDataModel"/>
      </ext>
    </extLst>
  </cacheSource>
  <cacheFields count="0"/>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10414223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51B967-A03D-4677-9A18-4232DD7DD833}" name="PivotTable12" cacheId="3132" applyNumberFormats="0" applyBorderFormats="0" applyFontFormats="0" applyPatternFormats="0" applyAlignmentFormats="0" applyWidthHeightFormats="1" dataCaption="Values" tag="dddc3394-2f4e-4df9-b0d3-439a48a43f8a" updatedVersion="8" minRefreshableVersion="3" subtotalHiddenItems="1" itemPrintTitles="1" createdVersion="5" indent="0" outline="1" outlineData="1" multipleFieldFilters="0" chartFormat="22">
  <location ref="A92:A94" firstHeaderRow="1" firstDataRow="1" firstDataCol="1"/>
  <pivotFields count="4">
    <pivotField axis="axisRow" allDrilled="1" subtotalTop="0" showAll="0" dataSourceSort="1" defaultSubtotal="0">
      <items count="1">
        <item s="1" x="0" e="0"/>
      </items>
    </pivotField>
    <pivotField axis="axisRow" allDrilled="1" subtotalTop="0" showAll="0" dataSourceSort="1" defaultSubtotal="0" defaultAttributeDrillState="1">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 axis="axisRow" allDrilled="1" subtotalTop="0" showAll="0" dataSourceSort="1" defaultSubtotal="0">
      <items count="1">
        <item x="0" e="0"/>
      </items>
    </pivotField>
    <pivotField axis="axisRow" allDrilled="1" subtotalTop="0" showAll="0" dataSourceSort="1" defaultSubtotal="0">
      <items count="1">
        <item s="1" x="0" e="0"/>
      </items>
    </pivotField>
  </pivotFields>
  <rowFields count="4">
    <field x="3"/>
    <field x="2"/>
    <field x="0"/>
    <field x="1"/>
  </rowFields>
  <rowItems count="2">
    <i>
      <x/>
    </i>
    <i t="grand">
      <x/>
    </i>
  </rowItems>
  <formats count="1">
    <format dxfId="51">
      <pivotArea outline="0" collapsedLevelsAreSubtotals="1" fieldPosition="0"/>
    </format>
  </formats>
  <pivotHierarchies count="36">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caption="Count of Patient Age"/>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3"/>
    <rowHierarchyUsage hierarchyUsage="4"/>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C3C15D2-EDF5-4B89-A99A-47331391715B}" name="PivotTable11" cacheId="3141" applyNumberFormats="0" applyBorderFormats="0" applyFontFormats="0" applyPatternFormats="0" applyAlignmentFormats="0" applyWidthHeightFormats="1" dataCaption="Values" tag="e2a97fb8-0b4d-4293-be45-bf026a189289" updatedVersion="8" minRefreshableVersion="3" subtotalHiddenItems="1" itemPrintTitles="1" createdVersion="5" indent="0" outline="1" outlineData="1" multipleFieldFilters="0" chartFormat="26">
  <location ref="A79:B88" firstHeaderRow="1" firstDataRow="1" firstDataCol="1"/>
  <pivotFields count="4">
    <pivotField allDrilled="1" subtotalTop="0" showAll="0" dataSourceSort="1" defaultSubtotal="0" defaultAttributeDrillState="1"/>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9">
    <i>
      <x v="7"/>
    </i>
    <i>
      <x v="3"/>
    </i>
    <i>
      <x v="6"/>
    </i>
    <i>
      <x v="1"/>
    </i>
    <i>
      <x/>
    </i>
    <i>
      <x v="5"/>
    </i>
    <i>
      <x v="2"/>
    </i>
    <i>
      <x v="4"/>
    </i>
    <i t="grand">
      <x/>
    </i>
  </rowItems>
  <colItems count="1">
    <i/>
  </colItems>
  <dataFields count="1">
    <dataField name="Count of Department Referral" fld="2" subtotal="count" baseField="0" baseItem="0"/>
  </dataFields>
  <formats count="1">
    <format dxfId="323">
      <pivotArea outline="0" collapsedLevelsAreSubtotals="1" fieldPosition="0"/>
    </format>
  </formats>
  <chartFormats count="2">
    <chartFormat chart="22"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Month)].&amp;[Apr]"/>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caption="Count of Patient Ag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0DA81A6-1E7F-4F98-890C-489CE70F8EA7}" name="PivotTable10" cacheId="3138" applyNumberFormats="0" applyBorderFormats="0" applyFontFormats="0" applyPatternFormats="0" applyAlignmentFormats="0" applyWidthHeightFormats="1" dataCaption="Values" tag="3a2a5136-a103-4ddc-af0a-ab8043645fd8" updatedVersion="8" minRefreshableVersion="3" subtotalHiddenItems="1" itemPrintTitles="1" createdVersion="5" indent="0" outline="1" outlineData="1" multipleFieldFilters="0" chartFormat="22">
  <location ref="A73:B76"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Gender" fld="2" subtotal="count" baseField="0" baseItem="0"/>
  </dataFields>
  <formats count="1">
    <format dxfId="324">
      <pivotArea outline="0" collapsedLevelsAreSubtotals="1" fieldPosition="0"/>
    </format>
  </formats>
  <chartFormats count="3">
    <chartFormat chart="21" format="4" series="1">
      <pivotArea type="data" outline="0" fieldPosition="0">
        <references count="1">
          <reference field="4294967294" count="1" selected="0">
            <x v="0"/>
          </reference>
        </references>
      </pivotArea>
    </chartFormat>
    <chartFormat chart="21" format="5">
      <pivotArea type="data" outline="0" fieldPosition="0">
        <references count="2">
          <reference field="4294967294" count="1" selected="0">
            <x v="0"/>
          </reference>
          <reference field="1" count="1" selected="0">
            <x v="0"/>
          </reference>
        </references>
      </pivotArea>
    </chartFormat>
    <chartFormat chart="21" format="6">
      <pivotArea type="data" outline="0" fieldPosition="0">
        <references count="2">
          <reference field="4294967294" count="1" selected="0">
            <x v="0"/>
          </reference>
          <reference field="1" count="1" selected="0">
            <x v="1"/>
          </reference>
        </references>
      </pivotArea>
    </chartFormat>
  </chartFormats>
  <pivotHierarchies count="36">
    <pivotHierarchy dragToData="1"/>
    <pivotHierarchy multipleItemSelectionAllowed="1" dragToData="1">
      <members count="1" level="1">
        <member name="[calender_table].[Date (Month)].&amp;[Apr]"/>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caption="Count of Patient Ag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667C82-9EE8-4702-8F94-121BCB0579BE}" name="PivotTable9" cacheId="3165" applyNumberFormats="0" applyBorderFormats="0" applyFontFormats="0" applyPatternFormats="0" applyAlignmentFormats="0" applyWidthHeightFormats="1" dataCaption="Values" tag="660b6fee-fe42-4847-bff9-063ffd01200b" updatedVersion="8" minRefreshableVersion="3" subtotalHiddenItems="1" itemPrintTitles="1" createdVersion="5" indent="0" outline="1" outlineData="1" multipleFieldFilters="0" chartFormat="14">
  <location ref="A66:B69"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attend status" fld="2" subtotal="count" baseField="0" baseItem="0"/>
  </dataFields>
  <formats count="1">
    <format dxfId="325">
      <pivotArea outline="0" collapsedLevelsAreSubtotals="1" fieldPosition="0"/>
    </format>
  </formats>
  <chartFormats count="3">
    <chartFormat chart="12" format="4" series="1">
      <pivotArea type="data" outline="0" fieldPosition="0">
        <references count="1">
          <reference field="4294967294" count="1" selected="0">
            <x v="0"/>
          </reference>
        </references>
      </pivotArea>
    </chartFormat>
    <chartFormat chart="12" format="5">
      <pivotArea type="data" outline="0" fieldPosition="0">
        <references count="2">
          <reference field="4294967294" count="1" selected="0">
            <x v="0"/>
          </reference>
          <reference field="1" count="1" selected="0">
            <x v="0"/>
          </reference>
        </references>
      </pivotArea>
    </chartFormat>
    <chartFormat chart="12" format="6">
      <pivotArea type="data" outline="0" fieldPosition="0">
        <references count="2">
          <reference field="4294967294" count="1" selected="0">
            <x v="0"/>
          </reference>
          <reference field="1" count="1" selected="0">
            <x v="1"/>
          </reference>
        </references>
      </pivotArea>
    </chartFormat>
  </chartFormats>
  <pivotHierarchies count="36">
    <pivotHierarchy dragToData="1"/>
    <pivotHierarchy multipleItemSelectionAllowed="1" dragToData="1">
      <members count="1" level="1">
        <member name="[calender_table].[Date (Month)].&amp;[Apr]"/>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caption="Count of Patient Ag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8476C76-429A-472C-B757-E8B4955B8E11}" name="PivotTable8" cacheId="3162" applyNumberFormats="0" applyBorderFormats="0" applyFontFormats="0" applyPatternFormats="0" applyAlignmentFormats="0" applyWidthHeightFormats="1" dataCaption="Values" tag="754ac82e-6c0c-4288-bcfd-11859be8eb8b" updatedVersion="8" minRefreshableVersion="3" subtotalHiddenItems="1" itemPrintTitles="1" createdVersion="5" indent="0" outline="1" outlineData="1" multipleFieldFilters="0" chartFormat="9">
  <location ref="A52:B61"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Patient Age" fld="2" subtotal="count" baseField="1" baseItem="1"/>
  </dataFields>
  <formats count="1">
    <format dxfId="326">
      <pivotArea outline="0" collapsedLevelsAreSubtotals="1" fieldPosition="0"/>
    </format>
  </formats>
  <chartFormats count="2">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Month)].&amp;[Apr]"/>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caption="Count of Patient Ag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6B9A288-7A8A-454E-B638-3E6E012EF787}" name="PivotTable7" cacheId="3159" applyNumberFormats="0" applyBorderFormats="0" applyFontFormats="0" applyPatternFormats="0" applyAlignmentFormats="0" applyWidthHeightFormats="1" dataCaption="Values" tag="21ccb091-3742-40a6-8e09-3896b6061f4b" updatedVersion="8" minRefreshableVersion="3" subtotalHiddenItems="1" itemPrintTitles="1" createdVersion="5" indent="0" outline="1" outlineData="1" multipleFieldFilters="0" chartFormat="4">
  <location ref="A42:C45" firstHeaderRow="0" firstDataRow="1" firstDataCol="1"/>
  <pivotFields count="5">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3">
    <i>
      <x/>
    </i>
    <i>
      <x v="1"/>
    </i>
    <i t="grand">
      <x/>
    </i>
  </rowItems>
  <colFields count="1">
    <field x="-2"/>
  </colFields>
  <colItems count="2">
    <i>
      <x/>
    </i>
    <i i="1">
      <x v="1"/>
    </i>
  </colItems>
  <dataFields count="2">
    <dataField name="Count of Patient Admission Flag" fld="2" subtotal="count" baseField="0" baseItem="0"/>
    <dataField name="Count of Patient Admission Flag2" fld="4" subtotal="count" showDataAs="percentOfTotal" baseField="1" baseItem="0" numFmtId="10">
      <extLst>
        <ext xmlns:x14="http://schemas.microsoft.com/office/spreadsheetml/2009/9/main" uri="{E15A36E0-9728-4e99-A89B-3F7291B0FE68}">
          <x14:dataField sourceField="2" uniqueName="[__Xl2].[Measures].[Count of Patient Admission Flag]"/>
        </ext>
      </extLst>
    </dataField>
  </dataFields>
  <formats count="2">
    <format dxfId="327">
      <pivotArea outline="0" collapsedLevelsAreSubtotals="1" fieldPosition="0"/>
    </format>
    <format dxfId="328">
      <pivotArea outline="0" fieldPosition="0">
        <references count="1">
          <reference field="4294967294" count="1">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s>
  <pivotHierarchies count="37">
    <pivotHierarchy dragToData="1"/>
    <pivotHierarchy multipleItemSelectionAllowed="1" dragToData="1">
      <members count="1" level="1">
        <member name="[calender_table].[Date (Month)].&amp;[Apr]"/>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F340B69-2923-4753-AB61-39691651C122}" name="PivotTable6" cacheId="3156" applyNumberFormats="0" applyBorderFormats="0" applyFontFormats="0" applyPatternFormats="0" applyAlignmentFormats="0" applyWidthHeightFormats="1" dataCaption="Values" tag="e98dcfd1-1cfc-4b81-b65e-1255fd28ed88" updatedVersion="8" minRefreshableVersion="3" subtotalHiddenItems="1" itemPrintTitles="1" createdVersion="5" indent="0" outline="1" outlineData="1" multipleFieldFilters="0" chartFormat="21">
  <location ref="M3:N34" firstHeaderRow="1" firstDataRow="1" firstDataCol="1"/>
  <pivotFields count="4">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Satisfaction Score" fld="2" subtotal="average" baseField="0" baseItem="8" numFmtId="2"/>
  </dataFields>
  <formats count="1">
    <format dxfId="329">
      <pivotArea outline="0" collapsedLevelsAreSubtotals="1" fieldPosition="0"/>
    </format>
  </formats>
  <chartFormats count="3">
    <chartFormat chart="15"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Month)].&amp;[Apr]"/>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565559-C514-4B59-86B4-21B3F04B80AA}" name="PivotTable5" cacheId="3153" applyNumberFormats="0" applyBorderFormats="0" applyFontFormats="0" applyPatternFormats="0" applyAlignmentFormats="0" applyWidthHeightFormats="1" dataCaption="Values" tag="e98dcfd1-1cfc-4b81-b65e-1255fd28ed88" updatedVersion="8" minRefreshableVersion="3" subtotalHiddenItems="1" itemPrintTitles="1" createdVersion="5" indent="0" outline="1" outlineData="1" multipleFieldFilters="0" chartFormat="15">
  <location ref="J3:K34" firstHeaderRow="1" firstDataRow="1" firstDataCol="1"/>
  <pivotFields count="4">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Waittime" fld="2" subtotal="average" baseField="0" baseItem="0" numFmtId="2"/>
  </dataFields>
  <formats count="1">
    <format dxfId="330">
      <pivotArea outline="0" collapsedLevelsAreSubtotals="1" fieldPosition="0"/>
    </format>
  </formats>
  <chartFormats count="2">
    <chartFormat chart="11" format="2"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Month)].&amp;[Apr]"/>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C09266-EF95-403B-B1B7-9E11F22F8466}" name="PivotTable3" cacheId="3147" applyNumberFormats="0" applyBorderFormats="0" applyFontFormats="0" applyPatternFormats="0" applyAlignmentFormats="0" applyWidthHeightFormats="1" dataCaption="Values" tag="85ad1643-50cf-4a61-aac2-37328c18665a" updatedVersion="8" minRefreshableVersion="3" subtotalHiddenItems="1" itemPrintTitles="1" createdVersion="5" indent="0" outline="1" outlineData="1" multipleFieldFilters="0">
  <location ref="A11:A1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331">
      <pivotArea outline="0" collapsedLevelsAreSubtotals="1" fieldPosition="0"/>
    </format>
  </formats>
  <pivotHierarchies count="36">
    <pivotHierarchy dragToData="1"/>
    <pivotHierarchy multipleItemSelectionAllowed="1" dragToData="1">
      <members count="1" level="1">
        <member name="[calender_table].[Date (Month)].&amp;[Apr]"/>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296EF40-64CA-44A1-8965-46F2026AA37D}" name="PivotTable2" cacheId="3144" applyNumberFormats="0" applyBorderFormats="0" applyFontFormats="0" applyPatternFormats="0" applyAlignmentFormats="0" applyWidthHeightFormats="1" dataCaption="Values" tag="524c562c-0337-4ba4-bba2-fa4f9b183964" updatedVersion="8" minRefreshableVersion="3" subtotalHiddenItems="1" itemPrintTitles="1" createdVersion="5" indent="0" outline="1" outlineData="1" multipleFieldFilters="0">
  <location ref="A8:A9"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332">
      <pivotArea outline="0" collapsedLevelsAreSubtotals="1" fieldPosition="0"/>
    </format>
  </formats>
  <pivotHierarchies count="36">
    <pivotHierarchy dragToData="1"/>
    <pivotHierarchy multipleItemSelectionAllowed="1" dragToData="1">
      <members count="1" level="1">
        <member name="[calender_table].[Date (Month)].&amp;[Apr]"/>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38FDACD-B3BD-4A15-B9F0-6A78C383038F}" name="PivotTable1" cacheId="3135" applyNumberFormats="0" applyBorderFormats="0" applyFontFormats="0" applyPatternFormats="0" applyAlignmentFormats="0" applyWidthHeightFormats="1" dataCaption="Values" tag="e98dcfd1-1cfc-4b81-b65e-1255fd28ed88" updatedVersion="8" minRefreshableVersion="3" subtotalHiddenItems="1" itemPrintTitles="1" createdVersion="5" indent="0" outline="1" outlineData="1" multipleFieldFilters="0">
  <location ref="A4:A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Count of Patient Id" fld="0" subtotal="count" baseField="0" baseItem="0"/>
  </dataFields>
  <pivotHierarchies count="36">
    <pivotHierarchy dragToData="1"/>
    <pivotHierarchy multipleItemSelectionAllowed="1" dragToData="1">
      <members count="1" level="1">
        <member name="[calender_table].[Date (Month)].&amp;[Apr]"/>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2E5FAAE-2746-4CB1-91A8-3AA5C3EC1F08}" name="PivotTable4" cacheId="3150" applyNumberFormats="0" applyBorderFormats="0" applyFontFormats="0" applyPatternFormats="0" applyAlignmentFormats="0" applyWidthHeightFormats="1" dataCaption="Values" tag="e98dcfd1-1cfc-4b81-b65e-1255fd28ed88" updatedVersion="8" minRefreshableVersion="3" subtotalHiddenItems="1" itemPrintTitles="1" createdVersion="5" indent="0" outline="1" outlineData="1" multipleFieldFilters="0" chartFormat="8">
  <location ref="D3:E34" firstHeaderRow="1" firstDataRow="1" firstDataCol="1"/>
  <pivotFields count="4">
    <pivotField dataField="1" subtotalTop="0" showAll="0" defaultSubtotal="0"/>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Count of Patient Id" fld="0" subtotal="count" baseField="0" baseItem="0"/>
  </dataFields>
  <chartFormats count="2">
    <chartFormat chart="3"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Month)].&amp;[Apr]"/>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829261F3-E080-4535-A4B6-60E467F7AD37}" sourceName="[calender_table].[Date (Month)]">
  <pivotTables>
    <pivotTable tabId="1" name="PivotTable4"/>
    <pivotTable tabId="1" name="PivotTable1"/>
    <pivotTable tabId="1" name="PivotTable2"/>
    <pivotTable tabId="1" name="PivotTable3"/>
    <pivotTable tabId="1" name="PivotTable5"/>
    <pivotTable tabId="1" name="PivotTable6"/>
    <pivotTable tabId="1" name="PivotTable7"/>
    <pivotTable tabId="1" name="PivotTable8"/>
    <pivotTable tabId="1" name="PivotTable9"/>
    <pivotTable tabId="1" name="PivotTable10"/>
    <pivotTable tabId="1" name="PivotTable11"/>
    <pivotTable tabId="1" name="PivotTable12"/>
  </pivotTables>
  <data>
    <olap pivotCacheId="1104142239">
      <levels count="2">
        <level uniqueName="[calender_table].[Date (Month)].[(All)]" sourceCaption="(All)" count="0"/>
        <level uniqueName="[calender_table].[Date (Month)].[Date (Month)]" sourceCaption="Date (Month)" count="12">
          <ranges>
            <range startItem="0">
              <i n="[calender_table].[Date (Month)].&amp;[Apr]" c="Apr"/>
              <i n="[calender_table].[Date (Month)].&amp;[May]" c="May"/>
              <i n="[calender_table].[Date (Month)].&amp;[Jun]" c="Jun"/>
              <i n="[calender_table].[Date (Month)].&amp;[Jul]" c="Jul"/>
              <i n="[calender_table].[Date (Month)].&amp;[Aug]" c="Aug"/>
              <i n="[calender_table].[Date (Month)].&amp;[Sep]" c="Sep"/>
              <i n="[calender_table].[Date (Month)].&amp;[Oct]" c="Oct"/>
              <i n="[calender_table].[Date (Month)].&amp;[Nov]" c="Nov"/>
              <i n="[calender_table].[Date (Month)].&amp;[Dec]" c="Dec"/>
              <i n="[calender_table].[Date (Month)].&amp;[Jan]" c="Jan"/>
              <i n="[calender_table].[Date (Month)].&amp;[Feb]" c="Feb"/>
              <i n="[calender_table].[Date (Month)].&amp;[Mar]" c="Mar"/>
            </range>
          </ranges>
        </level>
      </levels>
      <selections count="1">
        <selection n="[calender_table].[Date (Month)].&amp;[Apr]"/>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31B571D1-9E5B-4B37-B428-9D6E343D9012}" sourceName="[calender_table].[Date (Year)]">
  <pivotTables>
    <pivotTable tabId="1" name="PivotTable12"/>
    <pivotTable tabId="1" name="PivotTable1"/>
    <pivotTable tabId="1" name="PivotTable10"/>
    <pivotTable tabId="1" name="PivotTable11"/>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1104142239">
      <levels count="2">
        <level uniqueName="[calender_table].[Date (Year)].[(All)]" sourceCaption="(All)" count="0"/>
        <level uniqueName="[calender_table].[Date (Year)].[Date (Year)]" sourceCaption="Date (Year)" count="2">
          <ranges>
            <range startItem="0">
              <i n="[calender_table].[Date (Year)].&amp;[2023]" c="2023"/>
              <i n="[calender_table].[Date (Year)].&amp;[2024]" c="2024"/>
            </range>
          </ranges>
        </level>
      </levels>
      <selections count="1">
        <selection n="[calender_table].[Date (Year)].&amp;[2023]"/>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1C25014C-250C-4C8C-9FAB-21E71010B395}" cache="Slicer_Date__Month" caption="Date (Month)" startItem="2" level="1" rowHeight="234950"/>
  <slicer name="Date (Year)" xr10:uid="{F9FA6DCB-0C6D-4C37-AD56-1189233D6829}" cache="Slicer_Date__Year" caption="Date (Year)" showCaption="0"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1" xr10:uid="{DC543C24-9A9E-4FE6-8C0C-483959506F90}" cache="Slicer_Date__Month" caption="Date (Month)" showCaption="0" level="1" style="My style" rowHeight="216000"/>
  <slicer name="Date (Year) 1" xr10:uid="{1C896D70-F433-4532-BD70-A330993C2D7F}" cache="Slicer_Date__Year" caption="Date (Year)" showCaption="0" level="1" style="My styl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62DE97D-4D5F-42B6-B166-37A232C85BAC}">
  <we:reference id="wa200010725" version="1.0.0.1" store="en-US" storeType="OMEX"/>
  <we:alternateReferences>
    <we:reference id="wa200010725" version="1.0.0.1" store="wa200010725" storeType="OMEX"/>
  </we:alternateReferences>
  <we:properties>
    <we:property name="claude.fileId" value="&quot;df37026b-9e3f-4b26-ad3a-900212a57d6a&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80D6B-0202-4DAE-A9D4-5CBDEEDB9D93}">
  <dimension ref="A3:N94"/>
  <sheetViews>
    <sheetView topLeftCell="A88" zoomScale="120" zoomScaleNormal="120" workbookViewId="0">
      <selection activeCell="A93" sqref="A93"/>
    </sheetView>
  </sheetViews>
  <sheetFormatPr defaultRowHeight="14.4" x14ac:dyDescent="0.3"/>
  <cols>
    <col min="1" max="1" width="20.6640625" customWidth="1"/>
    <col min="2" max="2" width="15.21875" customWidth="1"/>
    <col min="3" max="3" width="12.109375" customWidth="1"/>
    <col min="4" max="4" width="21.109375" customWidth="1"/>
  </cols>
  <sheetData>
    <row r="3" spans="1:14" x14ac:dyDescent="0.3">
      <c r="D3" s="3" t="s">
        <v>4</v>
      </c>
      <c r="E3" t="s">
        <v>0</v>
      </c>
      <c r="J3" s="3" t="s">
        <v>4</v>
      </c>
      <c r="K3" t="s">
        <v>1</v>
      </c>
      <c r="M3" s="3" t="s">
        <v>4</v>
      </c>
      <c r="N3" t="s">
        <v>2</v>
      </c>
    </row>
    <row r="4" spans="1:14" x14ac:dyDescent="0.3">
      <c r="A4" t="s">
        <v>0</v>
      </c>
      <c r="D4" s="4" t="s">
        <v>5</v>
      </c>
      <c r="E4" s="5">
        <v>19</v>
      </c>
      <c r="J4" s="4" t="s">
        <v>5</v>
      </c>
      <c r="K4" s="1">
        <v>40.473684210526315</v>
      </c>
      <c r="M4" s="4" t="s">
        <v>5</v>
      </c>
      <c r="N4" s="1">
        <v>3.8</v>
      </c>
    </row>
    <row r="5" spans="1:14" x14ac:dyDescent="0.3">
      <c r="A5" s="5">
        <v>479</v>
      </c>
      <c r="D5" s="4" t="s">
        <v>6</v>
      </c>
      <c r="E5" s="5">
        <v>13</v>
      </c>
      <c r="J5" s="4" t="s">
        <v>6</v>
      </c>
      <c r="K5" s="1">
        <v>29.46153846153846</v>
      </c>
      <c r="M5" s="4" t="s">
        <v>6</v>
      </c>
      <c r="N5" s="1">
        <v>7.75</v>
      </c>
    </row>
    <row r="6" spans="1:14" x14ac:dyDescent="0.3">
      <c r="D6" s="4" t="s">
        <v>7</v>
      </c>
      <c r="E6" s="5">
        <v>14</v>
      </c>
      <c r="J6" s="4" t="s">
        <v>7</v>
      </c>
      <c r="K6" s="1">
        <v>33.928571428571431</v>
      </c>
      <c r="M6" s="4" t="s">
        <v>7</v>
      </c>
      <c r="N6" s="1">
        <v>4.5999999999999996</v>
      </c>
    </row>
    <row r="7" spans="1:14" x14ac:dyDescent="0.3">
      <c r="D7" s="4" t="s">
        <v>8</v>
      </c>
      <c r="E7" s="5">
        <v>9</v>
      </c>
      <c r="J7" s="4" t="s">
        <v>8</v>
      </c>
      <c r="K7" s="1">
        <v>32.222222222222221</v>
      </c>
      <c r="M7" s="4" t="s">
        <v>8</v>
      </c>
      <c r="N7" s="1">
        <v>6</v>
      </c>
    </row>
    <row r="8" spans="1:14" x14ac:dyDescent="0.3">
      <c r="A8" t="s">
        <v>1</v>
      </c>
      <c r="D8" s="4" t="s">
        <v>9</v>
      </c>
      <c r="E8" s="5">
        <v>19</v>
      </c>
      <c r="J8" s="4" t="s">
        <v>9</v>
      </c>
      <c r="K8" s="1">
        <v>35.736842105263158</v>
      </c>
      <c r="M8" s="4" t="s">
        <v>9</v>
      </c>
      <c r="N8" s="1">
        <v>5.5714285714285712</v>
      </c>
    </row>
    <row r="9" spans="1:14" x14ac:dyDescent="0.3">
      <c r="A9" s="1">
        <v>34.90187891440501</v>
      </c>
      <c r="D9" s="4" t="s">
        <v>10</v>
      </c>
      <c r="E9" s="5">
        <v>14</v>
      </c>
      <c r="J9" s="4" t="s">
        <v>10</v>
      </c>
      <c r="K9" s="1">
        <v>30.142857142857142</v>
      </c>
      <c r="M9" s="4" t="s">
        <v>10</v>
      </c>
      <c r="N9" s="1">
        <v>2</v>
      </c>
    </row>
    <row r="10" spans="1:14" x14ac:dyDescent="0.3">
      <c r="D10" s="4" t="s">
        <v>11</v>
      </c>
      <c r="E10" s="5">
        <v>11</v>
      </c>
      <c r="J10" s="4" t="s">
        <v>11</v>
      </c>
      <c r="K10" s="1">
        <v>33.81818181818182</v>
      </c>
      <c r="M10" s="4" t="s">
        <v>11</v>
      </c>
      <c r="N10" s="1">
        <v>8</v>
      </c>
    </row>
    <row r="11" spans="1:14" x14ac:dyDescent="0.3">
      <c r="A11" t="s">
        <v>2</v>
      </c>
      <c r="D11" s="4" t="s">
        <v>12</v>
      </c>
      <c r="E11" s="5">
        <v>22</v>
      </c>
      <c r="J11" s="4" t="s">
        <v>12</v>
      </c>
      <c r="K11" s="1">
        <v>31.681818181818183</v>
      </c>
      <c r="M11" s="4" t="s">
        <v>12</v>
      </c>
      <c r="N11" s="1">
        <v>8</v>
      </c>
    </row>
    <row r="12" spans="1:14" x14ac:dyDescent="0.3">
      <c r="A12" s="1">
        <v>5.3034482758620687</v>
      </c>
      <c r="D12" s="4" t="s">
        <v>13</v>
      </c>
      <c r="E12" s="5">
        <v>12</v>
      </c>
      <c r="J12" s="4" t="s">
        <v>13</v>
      </c>
      <c r="K12" s="1">
        <v>36.416666666666664</v>
      </c>
      <c r="M12" s="4" t="s">
        <v>13</v>
      </c>
      <c r="N12" s="1">
        <v>5.25</v>
      </c>
    </row>
    <row r="13" spans="1:14" x14ac:dyDescent="0.3">
      <c r="D13" s="4" t="s">
        <v>14</v>
      </c>
      <c r="E13" s="5">
        <v>13</v>
      </c>
      <c r="J13" s="4" t="s">
        <v>14</v>
      </c>
      <c r="K13" s="1">
        <v>33.692307692307693</v>
      </c>
      <c r="M13" s="4" t="s">
        <v>14</v>
      </c>
      <c r="N13" s="1">
        <v>6</v>
      </c>
    </row>
    <row r="14" spans="1:14" x14ac:dyDescent="0.3">
      <c r="D14" s="4" t="s">
        <v>15</v>
      </c>
      <c r="E14" s="5">
        <v>17</v>
      </c>
      <c r="J14" s="4" t="s">
        <v>15</v>
      </c>
      <c r="K14" s="1">
        <v>39.117647058823529</v>
      </c>
      <c r="M14" s="4" t="s">
        <v>15</v>
      </c>
      <c r="N14" s="1">
        <v>6.5</v>
      </c>
    </row>
    <row r="15" spans="1:14" x14ac:dyDescent="0.3">
      <c r="D15" s="4" t="s">
        <v>16</v>
      </c>
      <c r="E15" s="5">
        <v>30</v>
      </c>
      <c r="J15" s="4" t="s">
        <v>16</v>
      </c>
      <c r="K15" s="1">
        <v>36.93333333333333</v>
      </c>
      <c r="M15" s="4" t="s">
        <v>16</v>
      </c>
      <c r="N15" s="1">
        <v>5.75</v>
      </c>
    </row>
    <row r="16" spans="1:14" x14ac:dyDescent="0.3">
      <c r="D16" s="4" t="s">
        <v>17</v>
      </c>
      <c r="E16" s="5">
        <v>13</v>
      </c>
      <c r="J16" s="4" t="s">
        <v>17</v>
      </c>
      <c r="K16" s="1">
        <v>29.923076923076923</v>
      </c>
      <c r="M16" s="4" t="s">
        <v>17</v>
      </c>
      <c r="N16" s="1">
        <v>5.6</v>
      </c>
    </row>
    <row r="17" spans="4:14" x14ac:dyDescent="0.3">
      <c r="D17" s="4" t="s">
        <v>18</v>
      </c>
      <c r="E17" s="5">
        <v>21</v>
      </c>
      <c r="J17" s="4" t="s">
        <v>18</v>
      </c>
      <c r="K17" s="1">
        <v>31.666666666666668</v>
      </c>
      <c r="M17" s="4" t="s">
        <v>18</v>
      </c>
      <c r="N17" s="1">
        <v>6.5</v>
      </c>
    </row>
    <row r="18" spans="4:14" x14ac:dyDescent="0.3">
      <c r="D18" s="4" t="s">
        <v>19</v>
      </c>
      <c r="E18" s="5">
        <v>12</v>
      </c>
      <c r="J18" s="4" t="s">
        <v>19</v>
      </c>
      <c r="K18" s="1">
        <v>40.25</v>
      </c>
      <c r="M18" s="4" t="s">
        <v>19</v>
      </c>
      <c r="N18" s="1">
        <v>5.666666666666667</v>
      </c>
    </row>
    <row r="19" spans="4:14" x14ac:dyDescent="0.3">
      <c r="D19" s="4" t="s">
        <v>20</v>
      </c>
      <c r="E19" s="5">
        <v>17</v>
      </c>
      <c r="J19" s="4" t="s">
        <v>20</v>
      </c>
      <c r="K19" s="1">
        <v>30</v>
      </c>
      <c r="M19" s="4" t="s">
        <v>20</v>
      </c>
      <c r="N19" s="1">
        <v>5.666666666666667</v>
      </c>
    </row>
    <row r="20" spans="4:14" x14ac:dyDescent="0.3">
      <c r="D20" s="4" t="s">
        <v>21</v>
      </c>
      <c r="E20" s="5">
        <v>16</v>
      </c>
      <c r="J20" s="4" t="s">
        <v>21</v>
      </c>
      <c r="K20" s="1">
        <v>35</v>
      </c>
      <c r="M20" s="4" t="s">
        <v>21</v>
      </c>
      <c r="N20" s="1">
        <v>5.8</v>
      </c>
    </row>
    <row r="21" spans="4:14" x14ac:dyDescent="0.3">
      <c r="D21" s="4" t="s">
        <v>22</v>
      </c>
      <c r="E21" s="5">
        <v>20</v>
      </c>
      <c r="J21" s="4" t="s">
        <v>22</v>
      </c>
      <c r="K21" s="1">
        <v>41.85</v>
      </c>
      <c r="M21" s="4" t="s">
        <v>22</v>
      </c>
      <c r="N21" s="1">
        <v>4.666666666666667</v>
      </c>
    </row>
    <row r="22" spans="4:14" x14ac:dyDescent="0.3">
      <c r="D22" s="4" t="s">
        <v>23</v>
      </c>
      <c r="E22" s="5">
        <v>18</v>
      </c>
      <c r="J22" s="4" t="s">
        <v>23</v>
      </c>
      <c r="K22" s="1">
        <v>33.277777777777779</v>
      </c>
      <c r="M22" s="4" t="s">
        <v>23</v>
      </c>
      <c r="N22" s="1">
        <v>4.833333333333333</v>
      </c>
    </row>
    <row r="23" spans="4:14" x14ac:dyDescent="0.3">
      <c r="D23" s="4" t="s">
        <v>24</v>
      </c>
      <c r="E23" s="5">
        <v>16</v>
      </c>
      <c r="J23" s="4" t="s">
        <v>24</v>
      </c>
      <c r="K23" s="1">
        <v>32.9375</v>
      </c>
      <c r="M23" s="4" t="s">
        <v>24</v>
      </c>
      <c r="N23" s="1">
        <v>2.3333333333333335</v>
      </c>
    </row>
    <row r="24" spans="4:14" x14ac:dyDescent="0.3">
      <c r="D24" s="4" t="s">
        <v>25</v>
      </c>
      <c r="E24" s="5">
        <v>15</v>
      </c>
      <c r="J24" s="4" t="s">
        <v>25</v>
      </c>
      <c r="K24" s="1">
        <v>33.266666666666666</v>
      </c>
      <c r="M24" s="4" t="s">
        <v>25</v>
      </c>
      <c r="N24" s="1">
        <v>4.5</v>
      </c>
    </row>
    <row r="25" spans="4:14" x14ac:dyDescent="0.3">
      <c r="D25" s="4" t="s">
        <v>26</v>
      </c>
      <c r="E25" s="5">
        <v>18</v>
      </c>
      <c r="J25" s="4" t="s">
        <v>26</v>
      </c>
      <c r="K25" s="1">
        <v>34.444444444444443</v>
      </c>
      <c r="M25" s="4" t="s">
        <v>26</v>
      </c>
      <c r="N25" s="1">
        <v>6.666666666666667</v>
      </c>
    </row>
    <row r="26" spans="4:14" x14ac:dyDescent="0.3">
      <c r="D26" s="4" t="s">
        <v>27</v>
      </c>
      <c r="E26" s="5">
        <v>12</v>
      </c>
      <c r="J26" s="4" t="s">
        <v>27</v>
      </c>
      <c r="K26" s="1">
        <v>43.416666666666664</v>
      </c>
      <c r="M26" s="4" t="s">
        <v>27</v>
      </c>
      <c r="N26" s="1">
        <v>7.5</v>
      </c>
    </row>
    <row r="27" spans="4:14" x14ac:dyDescent="0.3">
      <c r="D27" s="4" t="s">
        <v>28</v>
      </c>
      <c r="E27" s="5">
        <v>14</v>
      </c>
      <c r="J27" s="4" t="s">
        <v>28</v>
      </c>
      <c r="K27" s="1">
        <v>36.357142857142854</v>
      </c>
      <c r="M27" s="4" t="s">
        <v>28</v>
      </c>
      <c r="N27" s="1">
        <v>5.2857142857142856</v>
      </c>
    </row>
    <row r="28" spans="4:14" x14ac:dyDescent="0.3">
      <c r="D28" s="4" t="s">
        <v>29</v>
      </c>
      <c r="E28" s="5">
        <v>18</v>
      </c>
      <c r="J28" s="4" t="s">
        <v>29</v>
      </c>
      <c r="K28" s="1">
        <v>40.611111111111114</v>
      </c>
      <c r="M28" s="4" t="s">
        <v>29</v>
      </c>
      <c r="N28" s="1">
        <v>2.875</v>
      </c>
    </row>
    <row r="29" spans="4:14" x14ac:dyDescent="0.3">
      <c r="D29" s="4" t="s">
        <v>30</v>
      </c>
      <c r="E29" s="5">
        <v>16</v>
      </c>
      <c r="J29" s="4" t="s">
        <v>30</v>
      </c>
      <c r="K29" s="1">
        <v>29.875</v>
      </c>
      <c r="M29" s="4" t="s">
        <v>30</v>
      </c>
      <c r="N29" s="1">
        <v>6.25</v>
      </c>
    </row>
    <row r="30" spans="4:14" x14ac:dyDescent="0.3">
      <c r="D30" s="4" t="s">
        <v>31</v>
      </c>
      <c r="E30" s="5">
        <v>16</v>
      </c>
      <c r="J30" s="4" t="s">
        <v>31</v>
      </c>
      <c r="K30" s="1">
        <v>33.5</v>
      </c>
      <c r="M30" s="4" t="s">
        <v>31</v>
      </c>
      <c r="N30" s="1">
        <v>6.125</v>
      </c>
    </row>
    <row r="31" spans="4:14" x14ac:dyDescent="0.3">
      <c r="D31" s="4" t="s">
        <v>32</v>
      </c>
      <c r="E31" s="5">
        <v>16</v>
      </c>
      <c r="J31" s="4" t="s">
        <v>32</v>
      </c>
      <c r="K31" s="1">
        <v>32.5625</v>
      </c>
      <c r="M31" s="4" t="s">
        <v>32</v>
      </c>
      <c r="N31" s="1">
        <v>5.75</v>
      </c>
    </row>
    <row r="32" spans="4:14" x14ac:dyDescent="0.3">
      <c r="D32" s="4" t="s">
        <v>33</v>
      </c>
      <c r="E32" s="5">
        <v>14</v>
      </c>
      <c r="J32" s="4" t="s">
        <v>33</v>
      </c>
      <c r="K32" s="1">
        <v>38.571428571428569</v>
      </c>
      <c r="M32" s="4" t="s">
        <v>33</v>
      </c>
      <c r="N32" s="1">
        <v>5.375</v>
      </c>
    </row>
    <row r="33" spans="1:14" x14ac:dyDescent="0.3">
      <c r="D33" s="4" t="s">
        <v>34</v>
      </c>
      <c r="E33" s="5">
        <v>14</v>
      </c>
      <c r="J33" s="4" t="s">
        <v>34</v>
      </c>
      <c r="K33" s="1">
        <v>32.714285714285715</v>
      </c>
      <c r="M33" s="4" t="s">
        <v>34</v>
      </c>
      <c r="N33" s="1">
        <v>5.6</v>
      </c>
    </row>
    <row r="34" spans="1:14" x14ac:dyDescent="0.3">
      <c r="D34" s="4" t="s">
        <v>3</v>
      </c>
      <c r="E34" s="5">
        <v>479</v>
      </c>
      <c r="J34" s="4" t="s">
        <v>3</v>
      </c>
      <c r="K34" s="1">
        <v>34.90187891440501</v>
      </c>
      <c r="M34" s="4" t="s">
        <v>3</v>
      </c>
      <c r="N34" s="1">
        <v>5.3034482758620687</v>
      </c>
    </row>
    <row r="42" spans="1:14" x14ac:dyDescent="0.3">
      <c r="A42" s="3" t="s">
        <v>4</v>
      </c>
      <c r="B42" t="s">
        <v>40</v>
      </c>
      <c r="C42" t="s">
        <v>41</v>
      </c>
    </row>
    <row r="43" spans="1:14" x14ac:dyDescent="0.3">
      <c r="A43" s="4" t="s">
        <v>38</v>
      </c>
      <c r="B43" s="1">
        <v>237</v>
      </c>
      <c r="C43" s="7">
        <v>0.49478079331941544</v>
      </c>
      <c r="I43" s="11" t="s">
        <v>45</v>
      </c>
    </row>
    <row r="44" spans="1:14" x14ac:dyDescent="0.3">
      <c r="A44" s="4" t="s">
        <v>39</v>
      </c>
      <c r="B44" s="1">
        <v>242</v>
      </c>
      <c r="C44" s="7">
        <v>0.50521920668058451</v>
      </c>
    </row>
    <row r="45" spans="1:14" x14ac:dyDescent="0.3">
      <c r="A45" s="4" t="s">
        <v>3</v>
      </c>
      <c r="B45" s="1">
        <v>479</v>
      </c>
      <c r="C45" s="7">
        <v>1</v>
      </c>
      <c r="E45" s="10"/>
    </row>
    <row r="47" spans="1:14" ht="15.6" x14ac:dyDescent="0.3">
      <c r="A47" s="12" t="s">
        <v>44</v>
      </c>
      <c r="B47" s="12" t="s">
        <v>42</v>
      </c>
      <c r="C47" s="12" t="s">
        <v>43</v>
      </c>
      <c r="D47" s="8"/>
      <c r="G47" s="8"/>
      <c r="H47" s="8"/>
      <c r="I47" s="8"/>
      <c r="J47" s="8"/>
    </row>
    <row r="48" spans="1:14" x14ac:dyDescent="0.3">
      <c r="A48" s="14" t="str">
        <f>A44</f>
        <v>Not admitted</v>
      </c>
      <c r="B48" s="13">
        <f>B44</f>
        <v>242</v>
      </c>
      <c r="C48" s="15">
        <f>C44</f>
        <v>0.50521920668058451</v>
      </c>
      <c r="D48" s="9"/>
      <c r="G48" s="8"/>
      <c r="H48" s="8"/>
      <c r="I48" s="8"/>
      <c r="J48" s="8"/>
    </row>
    <row r="49" spans="1:10" x14ac:dyDescent="0.3">
      <c r="A49" s="14" t="str">
        <f>A43</f>
        <v>Admitted</v>
      </c>
      <c r="B49" s="13">
        <f>B43</f>
        <v>237</v>
      </c>
      <c r="C49" s="15">
        <f>C43</f>
        <v>0.49478079331941544</v>
      </c>
      <c r="D49" s="9"/>
      <c r="G49" s="8"/>
      <c r="H49" s="8"/>
      <c r="I49" s="8"/>
      <c r="J49" s="8"/>
    </row>
    <row r="52" spans="1:10" x14ac:dyDescent="0.3">
      <c r="A52" s="3" t="s">
        <v>4</v>
      </c>
      <c r="B52" t="s">
        <v>54</v>
      </c>
    </row>
    <row r="53" spans="1:10" x14ac:dyDescent="0.3">
      <c r="A53" s="4" t="s">
        <v>46</v>
      </c>
      <c r="B53" s="16">
        <v>70</v>
      </c>
    </row>
    <row r="54" spans="1:10" x14ac:dyDescent="0.3">
      <c r="A54" s="4" t="s">
        <v>47</v>
      </c>
      <c r="B54" s="16">
        <v>67</v>
      </c>
    </row>
    <row r="55" spans="1:10" x14ac:dyDescent="0.3">
      <c r="A55" s="4" t="s">
        <v>48</v>
      </c>
      <c r="B55" s="16">
        <v>64</v>
      </c>
    </row>
    <row r="56" spans="1:10" x14ac:dyDescent="0.3">
      <c r="A56" s="4" t="s">
        <v>49</v>
      </c>
      <c r="B56" s="16">
        <v>60</v>
      </c>
    </row>
    <row r="57" spans="1:10" x14ac:dyDescent="0.3">
      <c r="A57" s="4" t="s">
        <v>50</v>
      </c>
      <c r="B57" s="16">
        <v>42</v>
      </c>
    </row>
    <row r="58" spans="1:10" x14ac:dyDescent="0.3">
      <c r="A58" s="4" t="s">
        <v>51</v>
      </c>
      <c r="B58" s="16">
        <v>53</v>
      </c>
    </row>
    <row r="59" spans="1:10" x14ac:dyDescent="0.3">
      <c r="A59" s="4" t="s">
        <v>52</v>
      </c>
      <c r="B59" s="16">
        <v>71</v>
      </c>
    </row>
    <row r="60" spans="1:10" x14ac:dyDescent="0.3">
      <c r="A60" s="4" t="s">
        <v>53</v>
      </c>
      <c r="B60" s="16">
        <v>52</v>
      </c>
    </row>
    <row r="61" spans="1:10" x14ac:dyDescent="0.3">
      <c r="A61" s="4" t="s">
        <v>3</v>
      </c>
      <c r="B61" s="16">
        <v>479</v>
      </c>
    </row>
    <row r="66" spans="1:2" x14ac:dyDescent="0.3">
      <c r="A66" s="3" t="s">
        <v>4</v>
      </c>
      <c r="B66" t="s">
        <v>55</v>
      </c>
    </row>
    <row r="67" spans="1:2" x14ac:dyDescent="0.3">
      <c r="A67" s="4" t="s">
        <v>36</v>
      </c>
      <c r="B67" s="16">
        <v>287</v>
      </c>
    </row>
    <row r="68" spans="1:2" x14ac:dyDescent="0.3">
      <c r="A68" s="4" t="s">
        <v>37</v>
      </c>
      <c r="B68" s="16">
        <v>192</v>
      </c>
    </row>
    <row r="69" spans="1:2" x14ac:dyDescent="0.3">
      <c r="A69" s="4" t="s">
        <v>3</v>
      </c>
      <c r="B69" s="16">
        <v>479</v>
      </c>
    </row>
    <row r="73" spans="1:2" x14ac:dyDescent="0.3">
      <c r="A73" s="3" t="s">
        <v>4</v>
      </c>
      <c r="B73" t="s">
        <v>58</v>
      </c>
    </row>
    <row r="74" spans="1:2" x14ac:dyDescent="0.3">
      <c r="A74" s="4" t="s">
        <v>56</v>
      </c>
      <c r="B74" s="16">
        <v>235</v>
      </c>
    </row>
    <row r="75" spans="1:2" x14ac:dyDescent="0.3">
      <c r="A75" s="4" t="s">
        <v>57</v>
      </c>
      <c r="B75" s="16">
        <v>244</v>
      </c>
    </row>
    <row r="76" spans="1:2" x14ac:dyDescent="0.3">
      <c r="A76" s="4" t="s">
        <v>3</v>
      </c>
      <c r="B76" s="16">
        <v>479</v>
      </c>
    </row>
    <row r="79" spans="1:2" x14ac:dyDescent="0.3">
      <c r="A79" s="3" t="s">
        <v>4</v>
      </c>
      <c r="B79" t="s">
        <v>67</v>
      </c>
    </row>
    <row r="80" spans="1:2" x14ac:dyDescent="0.3">
      <c r="A80" s="4" t="s">
        <v>66</v>
      </c>
      <c r="B80" s="16">
        <v>4</v>
      </c>
    </row>
    <row r="81" spans="1:2" x14ac:dyDescent="0.3">
      <c r="A81" s="4" t="s">
        <v>62</v>
      </c>
      <c r="B81" s="16">
        <v>11</v>
      </c>
    </row>
    <row r="82" spans="1:2" x14ac:dyDescent="0.3">
      <c r="A82" s="4" t="s">
        <v>65</v>
      </c>
      <c r="B82" s="16">
        <v>11</v>
      </c>
    </row>
    <row r="83" spans="1:2" x14ac:dyDescent="0.3">
      <c r="A83" s="4" t="s">
        <v>60</v>
      </c>
      <c r="B83" s="16">
        <v>12</v>
      </c>
    </row>
    <row r="84" spans="1:2" x14ac:dyDescent="0.3">
      <c r="A84" s="4" t="s">
        <v>59</v>
      </c>
      <c r="B84" s="16">
        <v>18</v>
      </c>
    </row>
    <row r="85" spans="1:2" x14ac:dyDescent="0.3">
      <c r="A85" s="4" t="s">
        <v>64</v>
      </c>
      <c r="B85" s="16">
        <v>45</v>
      </c>
    </row>
    <row r="86" spans="1:2" x14ac:dyDescent="0.3">
      <c r="A86" s="4" t="s">
        <v>61</v>
      </c>
      <c r="B86" s="16">
        <v>115</v>
      </c>
    </row>
    <row r="87" spans="1:2" x14ac:dyDescent="0.3">
      <c r="A87" s="4" t="s">
        <v>63</v>
      </c>
      <c r="B87" s="16">
        <v>263</v>
      </c>
    </row>
    <row r="88" spans="1:2" x14ac:dyDescent="0.3">
      <c r="A88" s="4" t="s">
        <v>3</v>
      </c>
      <c r="B88" s="16">
        <v>479</v>
      </c>
    </row>
    <row r="92" spans="1:2" x14ac:dyDescent="0.3">
      <c r="A92" s="3" t="s">
        <v>4</v>
      </c>
    </row>
    <row r="93" spans="1:2" x14ac:dyDescent="0.3">
      <c r="A93" s="4" t="s">
        <v>68</v>
      </c>
    </row>
    <row r="94" spans="1:2" x14ac:dyDescent="0.3">
      <c r="A94" s="4" t="s">
        <v>3</v>
      </c>
    </row>
  </sheetData>
  <pageMargins left="0.7" right="0.7" top="0.75" bottom="0.75" header="0.3" footer="0.3"/>
  <drawing r:id="rId13"/>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E8BA7-FDD5-4C81-99B1-E9355D52CBEA}">
  <dimension ref="A1:Q43"/>
  <sheetViews>
    <sheetView tabSelected="1" zoomScale="110" zoomScaleNormal="110" workbookViewId="0">
      <selection activeCell="V12" sqref="V12"/>
    </sheetView>
  </sheetViews>
  <sheetFormatPr defaultRowHeight="14.4" x14ac:dyDescent="0.3"/>
  <cols>
    <col min="1" max="1" width="10" customWidth="1"/>
    <col min="16" max="16" width="2.77734375" customWidth="1"/>
    <col min="17" max="17" width="8.88671875" hidden="1" customWidth="1"/>
    <col min="19" max="19" width="8.88671875" customWidth="1"/>
  </cols>
  <sheetData>
    <row r="1" spans="1:17" x14ac:dyDescent="0.3">
      <c r="A1" s="2"/>
      <c r="B1" s="2"/>
      <c r="C1" s="2"/>
      <c r="D1" s="2"/>
      <c r="E1" s="2"/>
      <c r="F1" s="2"/>
      <c r="G1" s="2"/>
      <c r="H1" s="2"/>
      <c r="I1" s="2"/>
      <c r="J1" s="2"/>
      <c r="K1" s="2"/>
      <c r="L1" s="2"/>
      <c r="M1" s="2"/>
      <c r="N1" s="2"/>
      <c r="O1" s="2"/>
      <c r="P1" s="2"/>
      <c r="Q1" s="2"/>
    </row>
    <row r="2" spans="1:17" x14ac:dyDescent="0.3">
      <c r="A2" s="2"/>
      <c r="B2" s="2"/>
      <c r="C2" s="2"/>
      <c r="D2" s="2"/>
      <c r="E2" s="2"/>
      <c r="F2" s="2"/>
      <c r="G2" s="2"/>
      <c r="H2" s="2"/>
      <c r="I2" s="2"/>
      <c r="J2" s="2"/>
      <c r="K2" s="2"/>
      <c r="L2" s="2"/>
      <c r="M2" s="2"/>
      <c r="N2" s="2"/>
      <c r="O2" s="2"/>
      <c r="P2" s="2"/>
      <c r="Q2" s="2"/>
    </row>
    <row r="3" spans="1:17" x14ac:dyDescent="0.3">
      <c r="A3" s="2"/>
      <c r="B3" s="2"/>
      <c r="C3" s="2"/>
      <c r="D3" s="2"/>
      <c r="E3" s="2"/>
      <c r="F3" s="2"/>
      <c r="G3" s="2"/>
      <c r="H3" s="2"/>
      <c r="I3" s="2"/>
      <c r="J3" s="2"/>
      <c r="K3" s="2"/>
      <c r="L3" s="2"/>
      <c r="M3" s="2"/>
      <c r="N3" s="2"/>
      <c r="O3" s="2"/>
      <c r="P3" s="2"/>
      <c r="Q3" s="2"/>
    </row>
    <row r="4" spans="1:17" x14ac:dyDescent="0.3">
      <c r="A4" s="2"/>
      <c r="B4" s="2"/>
      <c r="C4" s="2"/>
      <c r="D4" s="2"/>
      <c r="E4" s="2"/>
      <c r="F4" s="2"/>
      <c r="G4" s="2"/>
      <c r="H4" s="2"/>
      <c r="I4" s="2"/>
      <c r="J4" s="2"/>
      <c r="K4" s="2"/>
      <c r="L4" s="2"/>
      <c r="M4" s="2"/>
      <c r="N4" s="2"/>
      <c r="O4" s="2"/>
      <c r="P4" s="2"/>
      <c r="Q4" s="2"/>
    </row>
    <row r="5" spans="1:17" x14ac:dyDescent="0.3">
      <c r="A5" s="2"/>
      <c r="B5" s="2"/>
      <c r="C5" s="2"/>
      <c r="D5" s="2"/>
      <c r="E5" s="2"/>
      <c r="F5" s="2"/>
      <c r="G5" s="2"/>
      <c r="H5" s="2"/>
      <c r="I5" s="2"/>
      <c r="J5" s="2"/>
      <c r="K5" s="2"/>
      <c r="L5" s="2"/>
      <c r="M5" s="2"/>
      <c r="N5" s="2"/>
      <c r="O5" s="2"/>
      <c r="P5" s="2"/>
      <c r="Q5" s="2"/>
    </row>
    <row r="6" spans="1:17" x14ac:dyDescent="0.3">
      <c r="A6" s="2"/>
      <c r="B6" s="2"/>
      <c r="C6" s="2"/>
      <c r="D6" s="2"/>
      <c r="E6" s="2"/>
      <c r="F6" s="2"/>
      <c r="G6" s="2"/>
      <c r="H6" s="2"/>
      <c r="I6" s="2"/>
      <c r="J6" s="2"/>
      <c r="K6" s="2"/>
      <c r="L6" s="2"/>
      <c r="M6" s="2"/>
      <c r="N6" s="2"/>
      <c r="O6" s="2"/>
      <c r="P6" s="2"/>
      <c r="Q6" s="2"/>
    </row>
    <row r="7" spans="1:17" x14ac:dyDescent="0.3">
      <c r="A7" s="2"/>
      <c r="B7" s="2"/>
      <c r="C7" s="2"/>
      <c r="D7" s="2"/>
      <c r="E7" s="2"/>
      <c r="F7" s="2"/>
      <c r="G7" s="2"/>
      <c r="H7" s="2"/>
      <c r="I7" s="2"/>
      <c r="J7" s="2"/>
      <c r="K7" s="2"/>
      <c r="L7" s="2"/>
      <c r="M7" s="2"/>
      <c r="N7" s="2"/>
      <c r="O7" s="2"/>
      <c r="P7" s="2"/>
      <c r="Q7" s="2"/>
    </row>
    <row r="8" spans="1:17" x14ac:dyDescent="0.3">
      <c r="A8" s="2"/>
      <c r="B8" s="2"/>
      <c r="C8" s="2"/>
      <c r="D8" s="2"/>
      <c r="E8" s="2"/>
      <c r="F8" s="2"/>
      <c r="G8" s="2"/>
      <c r="H8" s="2"/>
      <c r="I8" s="2"/>
      <c r="J8" s="2"/>
      <c r="K8" s="2"/>
      <c r="L8" s="2"/>
      <c r="M8" s="2"/>
      <c r="N8" s="2"/>
      <c r="O8" s="2"/>
      <c r="P8" s="2"/>
      <c r="Q8" s="2"/>
    </row>
    <row r="9" spans="1:17" x14ac:dyDescent="0.3">
      <c r="A9" s="2"/>
      <c r="B9" s="2"/>
      <c r="C9" s="2"/>
      <c r="D9" s="2"/>
      <c r="E9" s="2"/>
      <c r="F9" s="2"/>
      <c r="G9" s="2"/>
      <c r="H9" s="2"/>
      <c r="I9" s="2"/>
      <c r="J9" s="2"/>
      <c r="K9" s="2"/>
      <c r="L9" s="2"/>
      <c r="M9" s="2"/>
      <c r="N9" s="2"/>
      <c r="O9" s="2"/>
      <c r="P9" s="2"/>
      <c r="Q9" s="2"/>
    </row>
    <row r="10" spans="1:17" x14ac:dyDescent="0.3">
      <c r="A10" s="2"/>
      <c r="B10" s="2"/>
      <c r="C10" s="2"/>
      <c r="D10" s="2"/>
      <c r="E10" s="2"/>
      <c r="F10" s="2"/>
      <c r="G10" s="2"/>
      <c r="H10" s="2"/>
      <c r="I10" s="2"/>
      <c r="J10" s="2"/>
      <c r="K10" s="2"/>
      <c r="L10" s="2"/>
      <c r="M10" s="2"/>
      <c r="N10" s="2"/>
      <c r="O10" s="2"/>
      <c r="P10" s="2"/>
      <c r="Q10" s="2"/>
    </row>
    <row r="11" spans="1:17" x14ac:dyDescent="0.3">
      <c r="A11" s="2"/>
      <c r="B11" s="2"/>
      <c r="C11" s="2"/>
      <c r="D11" s="2"/>
      <c r="E11" s="2"/>
      <c r="F11" s="2"/>
      <c r="G11" s="2"/>
      <c r="H11" s="2"/>
      <c r="I11" s="2"/>
      <c r="J11" s="2"/>
      <c r="K11" s="2"/>
      <c r="L11" s="2"/>
      <c r="M11" s="2"/>
      <c r="N11" s="2"/>
      <c r="O11" s="2"/>
      <c r="P11" s="2"/>
      <c r="Q11" s="2"/>
    </row>
    <row r="12" spans="1:17" x14ac:dyDescent="0.3">
      <c r="A12" s="2"/>
      <c r="B12" s="2"/>
      <c r="C12" s="2"/>
      <c r="D12" s="2"/>
      <c r="E12" s="2"/>
      <c r="F12" s="2"/>
      <c r="G12" s="2"/>
      <c r="H12" s="2"/>
      <c r="I12" s="2"/>
      <c r="J12" s="2"/>
      <c r="K12" s="2"/>
      <c r="L12" s="2"/>
      <c r="M12" s="2"/>
      <c r="N12" s="2"/>
      <c r="O12" s="2"/>
      <c r="P12" s="2"/>
      <c r="Q12" s="2"/>
    </row>
    <row r="13" spans="1:17" x14ac:dyDescent="0.3">
      <c r="A13" s="2"/>
      <c r="B13" s="2"/>
      <c r="C13" s="2"/>
      <c r="D13" s="2"/>
      <c r="E13" s="2"/>
      <c r="F13" s="2"/>
      <c r="G13" s="2"/>
      <c r="H13" s="2"/>
      <c r="I13" s="2"/>
      <c r="J13" s="2"/>
      <c r="K13" s="2"/>
      <c r="L13" s="2"/>
      <c r="M13" s="2"/>
      <c r="N13" s="2"/>
      <c r="O13" s="2"/>
      <c r="P13" s="2"/>
      <c r="Q13" s="2"/>
    </row>
    <row r="14" spans="1:17" x14ac:dyDescent="0.3">
      <c r="A14" s="2"/>
      <c r="B14" s="2"/>
      <c r="C14" s="2"/>
      <c r="D14" s="2"/>
      <c r="E14" s="2"/>
      <c r="F14" s="2"/>
      <c r="G14" s="2"/>
      <c r="H14" s="2"/>
      <c r="I14" s="2"/>
      <c r="J14" s="2"/>
      <c r="K14" s="2"/>
      <c r="L14" s="2"/>
      <c r="M14" s="2"/>
      <c r="N14" s="2"/>
      <c r="O14" s="2"/>
      <c r="P14" s="2"/>
      <c r="Q14" s="2"/>
    </row>
    <row r="15" spans="1:17" x14ac:dyDescent="0.3">
      <c r="A15" s="2"/>
      <c r="B15" s="2"/>
      <c r="C15" s="2"/>
      <c r="D15" s="2"/>
      <c r="E15" s="2"/>
      <c r="F15" s="2"/>
      <c r="G15" s="2"/>
      <c r="H15" s="2"/>
      <c r="I15" s="2"/>
      <c r="J15" s="2"/>
      <c r="K15" s="2"/>
      <c r="L15" s="2"/>
      <c r="M15" s="2"/>
      <c r="N15" s="2"/>
      <c r="O15" s="2"/>
      <c r="P15" s="2"/>
      <c r="Q15" s="2"/>
    </row>
    <row r="16" spans="1:17" x14ac:dyDescent="0.3">
      <c r="A16" s="2"/>
      <c r="B16" s="2"/>
      <c r="C16" s="2"/>
      <c r="D16" s="2"/>
      <c r="E16" s="2"/>
      <c r="F16" s="2"/>
      <c r="G16" s="2"/>
      <c r="H16" s="2"/>
      <c r="I16" s="2"/>
      <c r="J16" s="2"/>
      <c r="K16" s="2"/>
      <c r="L16" s="2"/>
      <c r="M16" s="2"/>
      <c r="N16" s="2"/>
      <c r="O16" s="2"/>
      <c r="P16" s="2"/>
      <c r="Q16" s="2"/>
    </row>
    <row r="17" spans="1:17" x14ac:dyDescent="0.3">
      <c r="A17" s="2"/>
      <c r="B17" s="2"/>
      <c r="C17" s="2"/>
      <c r="D17" s="2"/>
      <c r="E17" s="2"/>
      <c r="F17" s="2"/>
      <c r="G17" s="2"/>
      <c r="H17" s="2"/>
      <c r="I17" s="2"/>
      <c r="J17" s="2"/>
      <c r="K17" s="2"/>
      <c r="L17" s="2"/>
      <c r="M17" s="2"/>
      <c r="N17" s="2"/>
      <c r="O17" s="2"/>
      <c r="P17" s="2"/>
      <c r="Q17" s="2"/>
    </row>
    <row r="18" spans="1:17" x14ac:dyDescent="0.3">
      <c r="A18" s="2"/>
      <c r="B18" s="2"/>
      <c r="C18" s="2"/>
      <c r="D18" s="2"/>
      <c r="E18" s="2"/>
      <c r="F18" s="2"/>
      <c r="G18" s="2"/>
      <c r="H18" s="2"/>
      <c r="I18" s="2"/>
      <c r="J18" s="2"/>
      <c r="K18" s="2"/>
      <c r="L18" s="2"/>
      <c r="M18" s="2"/>
      <c r="N18" s="2"/>
      <c r="O18" s="2"/>
      <c r="P18" s="2"/>
      <c r="Q18" s="2"/>
    </row>
    <row r="19" spans="1:17" x14ac:dyDescent="0.3">
      <c r="A19" s="2"/>
      <c r="B19" s="2"/>
      <c r="C19" s="2"/>
      <c r="D19" s="2"/>
      <c r="E19" s="2"/>
      <c r="F19" s="2"/>
      <c r="G19" s="2"/>
      <c r="H19" s="2"/>
      <c r="I19" s="2"/>
      <c r="J19" s="2"/>
      <c r="K19" s="2"/>
      <c r="L19" s="2"/>
      <c r="M19" s="2"/>
      <c r="N19" s="2"/>
      <c r="O19" s="2"/>
      <c r="P19" s="2"/>
      <c r="Q19" s="2"/>
    </row>
    <row r="20" spans="1:17" x14ac:dyDescent="0.3">
      <c r="A20" s="2"/>
      <c r="B20" s="2"/>
      <c r="C20" s="2"/>
      <c r="D20" s="2"/>
      <c r="E20" s="2"/>
      <c r="F20" s="2"/>
      <c r="G20" s="2"/>
      <c r="H20" s="2"/>
      <c r="I20" s="2"/>
      <c r="J20" s="2"/>
      <c r="K20" s="2"/>
      <c r="L20" s="2"/>
      <c r="M20" s="2"/>
      <c r="N20" s="2"/>
      <c r="O20" s="2"/>
      <c r="P20" s="2"/>
      <c r="Q20" s="2"/>
    </row>
    <row r="21" spans="1:17" x14ac:dyDescent="0.3">
      <c r="A21" s="2"/>
      <c r="B21" s="2"/>
      <c r="C21" s="2"/>
      <c r="D21" s="2"/>
      <c r="E21" s="2"/>
      <c r="F21" s="2"/>
      <c r="G21" s="2"/>
      <c r="H21" s="2"/>
      <c r="I21" s="2"/>
      <c r="J21" s="2"/>
      <c r="K21" s="2"/>
      <c r="L21" s="2"/>
      <c r="M21" s="2"/>
      <c r="N21" s="2"/>
      <c r="O21" s="2"/>
      <c r="P21" s="2"/>
      <c r="Q21" s="2"/>
    </row>
    <row r="22" spans="1:17" x14ac:dyDescent="0.3">
      <c r="A22" s="2"/>
      <c r="B22" s="2"/>
      <c r="C22" s="2"/>
      <c r="D22" s="2"/>
      <c r="E22" s="2"/>
      <c r="F22" s="2"/>
      <c r="G22" s="2"/>
      <c r="H22" s="2"/>
      <c r="I22" s="2"/>
      <c r="J22" s="2"/>
      <c r="K22" s="2"/>
      <c r="L22" s="2"/>
      <c r="M22" s="2"/>
      <c r="N22" s="2"/>
      <c r="O22" s="2"/>
      <c r="P22" s="2"/>
      <c r="Q22" s="2"/>
    </row>
    <row r="23" spans="1:17" x14ac:dyDescent="0.3">
      <c r="A23" s="2"/>
      <c r="B23" s="2"/>
      <c r="C23" s="2"/>
      <c r="D23" s="2"/>
      <c r="E23" s="2"/>
      <c r="F23" s="2"/>
      <c r="G23" s="2"/>
      <c r="H23" s="2"/>
      <c r="I23" s="2"/>
      <c r="J23" s="2"/>
      <c r="K23" s="2"/>
      <c r="L23" s="2"/>
      <c r="M23" s="2"/>
      <c r="N23" s="2"/>
      <c r="O23" s="2"/>
      <c r="P23" s="2"/>
      <c r="Q23" s="2"/>
    </row>
    <row r="24" spans="1:17" x14ac:dyDescent="0.3">
      <c r="A24" s="2"/>
      <c r="B24" s="2"/>
      <c r="C24" s="2"/>
      <c r="D24" s="2"/>
      <c r="E24" s="2"/>
      <c r="F24" s="2"/>
      <c r="G24" s="2"/>
      <c r="H24" s="2"/>
      <c r="I24" s="2"/>
      <c r="J24" s="2"/>
      <c r="K24" s="2"/>
      <c r="L24" s="2"/>
      <c r="M24" s="2"/>
      <c r="N24" s="2"/>
      <c r="O24" s="2"/>
      <c r="P24" s="2"/>
      <c r="Q24" s="2"/>
    </row>
    <row r="25" spans="1:17" ht="1.8" customHeight="1" x14ac:dyDescent="0.3">
      <c r="A25" s="2"/>
      <c r="B25" s="2"/>
      <c r="C25" s="2"/>
      <c r="D25" s="2"/>
      <c r="E25" s="2"/>
      <c r="F25" s="2"/>
      <c r="G25" s="2"/>
      <c r="H25" s="2"/>
      <c r="I25" s="2"/>
      <c r="J25" s="2"/>
      <c r="K25" s="2"/>
      <c r="L25" s="2"/>
      <c r="M25" s="2"/>
      <c r="N25" s="2"/>
      <c r="O25" s="2"/>
      <c r="P25" s="2"/>
      <c r="Q25" s="2"/>
    </row>
    <row r="26" spans="1:17" hidden="1" x14ac:dyDescent="0.3">
      <c r="A26" s="2"/>
      <c r="B26" s="2"/>
      <c r="C26" s="2"/>
      <c r="D26" s="2"/>
      <c r="E26" s="2"/>
      <c r="F26" s="2"/>
      <c r="G26" s="2"/>
      <c r="H26" s="2"/>
      <c r="I26" s="2"/>
      <c r="J26" s="2"/>
      <c r="K26" s="2"/>
      <c r="L26" s="2"/>
      <c r="M26" s="2"/>
      <c r="N26" s="2"/>
      <c r="O26" s="2"/>
      <c r="P26" s="2"/>
      <c r="Q26" s="2"/>
    </row>
    <row r="27" spans="1:17" hidden="1" x14ac:dyDescent="0.3">
      <c r="A27" s="2"/>
      <c r="B27" s="2"/>
      <c r="C27" s="2"/>
      <c r="D27" s="2"/>
      <c r="E27" s="2"/>
      <c r="F27" s="2"/>
      <c r="G27" s="2"/>
      <c r="H27" s="2"/>
      <c r="I27" s="2"/>
      <c r="J27" s="2"/>
      <c r="K27" s="2"/>
      <c r="L27" s="2"/>
      <c r="M27" s="2"/>
      <c r="N27" s="2"/>
      <c r="O27" s="2"/>
      <c r="P27" s="2"/>
      <c r="Q27" s="2"/>
    </row>
    <row r="28" spans="1:17" hidden="1" x14ac:dyDescent="0.3">
      <c r="A28" s="2"/>
      <c r="B28" s="2"/>
      <c r="C28" s="2"/>
      <c r="D28" s="2"/>
      <c r="E28" s="2"/>
      <c r="F28" s="2"/>
      <c r="G28" s="2"/>
      <c r="H28" s="2"/>
      <c r="I28" s="2"/>
      <c r="J28" s="2"/>
      <c r="K28" s="2"/>
      <c r="L28" s="2"/>
      <c r="M28" s="2"/>
      <c r="N28" s="2"/>
      <c r="O28" s="2"/>
      <c r="P28" s="2"/>
      <c r="Q28" s="2"/>
    </row>
    <row r="29" spans="1:17" ht="7.2" hidden="1" customHeight="1" x14ac:dyDescent="0.3">
      <c r="A29" s="2"/>
      <c r="B29" s="2"/>
      <c r="C29" s="2"/>
      <c r="D29" s="2"/>
      <c r="E29" s="2"/>
      <c r="F29" s="2"/>
      <c r="G29" s="2"/>
      <c r="H29" s="2"/>
      <c r="I29" s="2"/>
      <c r="J29" s="2"/>
      <c r="K29" s="2"/>
      <c r="L29" s="2"/>
      <c r="M29" s="2"/>
      <c r="N29" s="2"/>
      <c r="O29" s="2"/>
      <c r="P29" s="2"/>
      <c r="Q29" s="2"/>
    </row>
    <row r="30" spans="1:17" hidden="1" x14ac:dyDescent="0.3">
      <c r="A30" s="2"/>
      <c r="B30" s="2"/>
      <c r="C30" s="2"/>
      <c r="D30" s="2"/>
      <c r="E30" s="2"/>
      <c r="F30" s="2"/>
      <c r="G30" s="2"/>
      <c r="H30" s="2"/>
      <c r="I30" s="2"/>
      <c r="J30" s="2"/>
      <c r="K30" s="2"/>
      <c r="L30" s="2"/>
      <c r="M30" s="2"/>
      <c r="N30" s="2"/>
      <c r="O30" s="2"/>
      <c r="P30" s="2"/>
      <c r="Q30" s="2"/>
    </row>
    <row r="31" spans="1:17" hidden="1" x14ac:dyDescent="0.3">
      <c r="A31" s="2"/>
      <c r="B31" s="2"/>
      <c r="C31" s="2"/>
      <c r="D31" s="2"/>
      <c r="E31" s="2"/>
      <c r="F31" s="2"/>
      <c r="G31" s="2"/>
      <c r="H31" s="2"/>
      <c r="I31" s="2"/>
      <c r="J31" s="2"/>
      <c r="K31" s="2"/>
      <c r="L31" s="2"/>
      <c r="M31" s="2"/>
      <c r="N31" s="2"/>
      <c r="O31" s="2"/>
      <c r="P31" s="2"/>
      <c r="Q31" s="2"/>
    </row>
    <row r="32" spans="1:17" hidden="1" x14ac:dyDescent="0.3">
      <c r="A32" s="2"/>
      <c r="B32" s="2"/>
      <c r="C32" s="2"/>
      <c r="D32" s="2"/>
      <c r="E32" s="2"/>
      <c r="F32" s="2"/>
      <c r="G32" s="2"/>
      <c r="H32" s="2"/>
      <c r="I32" s="2"/>
      <c r="J32" s="2"/>
      <c r="K32" s="2"/>
      <c r="L32" s="2"/>
      <c r="M32" s="2"/>
      <c r="N32" s="2"/>
      <c r="O32" s="2"/>
      <c r="P32" s="2"/>
      <c r="Q32" s="2"/>
    </row>
    <row r="33" spans="1:17" hidden="1" x14ac:dyDescent="0.3">
      <c r="A33" s="2"/>
      <c r="B33" s="2"/>
      <c r="C33" s="2"/>
      <c r="D33" s="2"/>
      <c r="E33" s="2"/>
      <c r="F33" s="2"/>
      <c r="G33" s="2"/>
      <c r="H33" s="2"/>
      <c r="I33" s="2"/>
      <c r="J33" s="2"/>
      <c r="K33" s="2"/>
      <c r="L33" s="2"/>
      <c r="M33" s="2"/>
      <c r="N33" s="2"/>
      <c r="O33" s="2"/>
      <c r="P33" s="2"/>
      <c r="Q33" s="2"/>
    </row>
    <row r="34" spans="1:17" hidden="1" x14ac:dyDescent="0.3">
      <c r="A34" s="2"/>
      <c r="B34" s="2"/>
      <c r="C34" s="2"/>
      <c r="D34" s="2"/>
      <c r="E34" s="2"/>
      <c r="F34" s="2"/>
      <c r="G34" s="2"/>
      <c r="H34" s="2"/>
      <c r="I34" s="2"/>
      <c r="J34" s="2"/>
      <c r="K34" s="2"/>
      <c r="L34" s="2"/>
      <c r="M34" s="2"/>
      <c r="N34" s="2"/>
      <c r="O34" s="2"/>
      <c r="P34" s="2"/>
      <c r="Q34" s="2"/>
    </row>
    <row r="35" spans="1:17" hidden="1" x14ac:dyDescent="0.3">
      <c r="A35" s="2"/>
      <c r="B35" s="2"/>
      <c r="C35" s="2"/>
      <c r="D35" s="2"/>
      <c r="E35" s="2"/>
      <c r="F35" s="2"/>
      <c r="G35" s="2"/>
      <c r="H35" s="2"/>
      <c r="I35" s="2"/>
      <c r="J35" s="2"/>
      <c r="K35" s="2"/>
      <c r="L35" s="2"/>
      <c r="M35" s="2"/>
      <c r="N35" s="2"/>
      <c r="O35" s="2"/>
      <c r="P35" s="2"/>
      <c r="Q35" s="2"/>
    </row>
    <row r="36" spans="1:17" hidden="1" x14ac:dyDescent="0.3">
      <c r="A36" s="2"/>
      <c r="B36" s="2"/>
      <c r="C36" s="2"/>
      <c r="D36" s="2"/>
      <c r="E36" s="2"/>
      <c r="F36" s="2"/>
      <c r="G36" s="2"/>
      <c r="H36" s="2"/>
      <c r="I36" s="2"/>
      <c r="J36" s="2"/>
      <c r="K36" s="2"/>
      <c r="L36" s="2"/>
      <c r="M36" s="2"/>
      <c r="N36" s="2"/>
      <c r="O36" s="2"/>
      <c r="P36" s="2"/>
      <c r="Q36" s="2"/>
    </row>
    <row r="37" spans="1:17" hidden="1" x14ac:dyDescent="0.3">
      <c r="A37" s="2"/>
      <c r="B37" s="2"/>
      <c r="C37" s="2"/>
      <c r="D37" s="2"/>
      <c r="E37" s="2"/>
      <c r="F37" s="2"/>
      <c r="G37" s="2"/>
      <c r="H37" s="2"/>
      <c r="I37" s="2"/>
      <c r="J37" s="2"/>
      <c r="K37" s="2"/>
      <c r="L37" s="2"/>
      <c r="M37" s="2"/>
      <c r="N37" s="2"/>
      <c r="O37" s="2"/>
      <c r="P37" s="2"/>
      <c r="Q37" s="2"/>
    </row>
    <row r="38" spans="1:17" hidden="1" x14ac:dyDescent="0.3">
      <c r="A38" s="2"/>
      <c r="B38" s="2"/>
      <c r="C38" s="2"/>
      <c r="D38" s="2"/>
      <c r="E38" s="2"/>
      <c r="F38" s="2"/>
      <c r="G38" s="2"/>
      <c r="H38" s="2"/>
      <c r="I38" s="2"/>
      <c r="J38" s="2"/>
      <c r="K38" s="2"/>
      <c r="L38" s="2"/>
      <c r="M38" s="2"/>
      <c r="N38" s="2"/>
      <c r="O38" s="2"/>
      <c r="P38" s="2"/>
      <c r="Q38" s="2"/>
    </row>
    <row r="39" spans="1:17" hidden="1" x14ac:dyDescent="0.3">
      <c r="A39" s="2"/>
      <c r="B39" s="2"/>
      <c r="C39" s="2"/>
      <c r="D39" s="2"/>
      <c r="E39" s="2"/>
      <c r="F39" s="2"/>
      <c r="G39" s="2"/>
      <c r="H39" s="2"/>
      <c r="I39" s="2"/>
      <c r="J39" s="2"/>
      <c r="K39" s="2"/>
      <c r="L39" s="2"/>
      <c r="M39" s="2"/>
      <c r="N39" s="2"/>
      <c r="O39" s="2"/>
      <c r="P39" s="2"/>
      <c r="Q39" s="2"/>
    </row>
    <row r="40" spans="1:17" hidden="1" x14ac:dyDescent="0.3">
      <c r="A40" s="2"/>
      <c r="B40" s="2"/>
      <c r="C40" s="2"/>
      <c r="D40" s="2"/>
      <c r="E40" s="2"/>
      <c r="F40" s="2"/>
      <c r="G40" s="2"/>
      <c r="H40" s="2"/>
      <c r="I40" s="2"/>
      <c r="J40" s="2"/>
      <c r="K40" s="2"/>
      <c r="L40" s="2"/>
      <c r="M40" s="2"/>
      <c r="N40" s="2"/>
      <c r="O40" s="2"/>
      <c r="P40" s="2"/>
      <c r="Q40" s="2"/>
    </row>
    <row r="41" spans="1:17" hidden="1" x14ac:dyDescent="0.3">
      <c r="A41" s="2"/>
      <c r="B41" s="2"/>
      <c r="C41" s="2"/>
      <c r="D41" s="2"/>
      <c r="E41" s="2"/>
      <c r="F41" s="2"/>
      <c r="G41" s="2"/>
      <c r="H41" s="2"/>
      <c r="I41" s="2"/>
      <c r="J41" s="2"/>
      <c r="K41" s="2"/>
      <c r="L41" s="2"/>
      <c r="M41" s="2"/>
      <c r="N41" s="2"/>
      <c r="O41" s="2"/>
      <c r="P41" s="2"/>
      <c r="Q41" s="2"/>
    </row>
    <row r="42" spans="1:17" hidden="1" x14ac:dyDescent="0.3">
      <c r="A42" s="2"/>
      <c r="B42" s="2"/>
      <c r="C42" s="2"/>
      <c r="D42" s="2"/>
      <c r="E42" s="2"/>
      <c r="F42" s="2"/>
      <c r="G42" s="2"/>
      <c r="H42" s="2"/>
      <c r="I42" s="2"/>
      <c r="J42" s="2"/>
      <c r="K42" s="2"/>
      <c r="L42" s="2"/>
      <c r="M42" s="2"/>
      <c r="N42" s="2"/>
      <c r="O42" s="2"/>
      <c r="P42" s="2"/>
      <c r="Q42" s="2"/>
    </row>
    <row r="43" spans="1:17" hidden="1" x14ac:dyDescent="0.3">
      <c r="A43" s="2"/>
      <c r="B43" s="2"/>
      <c r="C43" s="2"/>
      <c r="D43" s="2"/>
      <c r="E43" s="2"/>
      <c r="F43" s="2"/>
      <c r="G43" s="2"/>
      <c r="H43" s="2"/>
      <c r="I43" s="2"/>
      <c r="J43" s="2"/>
      <c r="K43" s="2"/>
      <c r="L43" s="2"/>
      <c r="M43" s="2"/>
      <c r="N43" s="2"/>
      <c r="O43" s="2"/>
      <c r="P43" s="2"/>
      <c r="Q43" s="2"/>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25CAC-70E0-46AB-8481-A1366D31D240}">
  <dimension ref="A1"/>
  <sheetViews>
    <sheetView workbookViewId="0"/>
  </sheetViews>
  <sheetFormatPr defaultRowHeight="14.4" x14ac:dyDescent="0.3"/>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733DE-BFF7-41D7-9268-4541F5B0BE8A}">
  <dimension ref="A1"/>
  <sheetViews>
    <sheetView workbookViewId="0"/>
  </sheetViews>
  <sheetFormatPr defaultRowHeight="14.4" x14ac:dyDescent="0.3"/>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5CE9B-C2DD-479A-8BC5-287FA715BAF0}">
  <dimension ref="B16:N17"/>
  <sheetViews>
    <sheetView workbookViewId="0"/>
  </sheetViews>
  <sheetFormatPr defaultRowHeight="14.4" x14ac:dyDescent="0.3"/>
  <sheetData>
    <row r="16" spans="2:14" x14ac:dyDescent="0.3">
      <c r="B16" s="6" t="s">
        <v>35</v>
      </c>
      <c r="C16" s="6"/>
      <c r="D16" s="6"/>
      <c r="E16" s="6"/>
      <c r="F16" s="6"/>
      <c r="G16" s="6"/>
      <c r="H16" s="6"/>
      <c r="I16" s="6"/>
      <c r="J16" s="6"/>
      <c r="K16" s="6"/>
      <c r="L16" s="6"/>
      <c r="M16" s="6"/>
      <c r="N16" s="6"/>
    </row>
    <row r="17" spans="2:14" x14ac:dyDescent="0.3">
      <c r="B17" s="6"/>
      <c r="C17" s="6"/>
      <c r="D17" s="6"/>
      <c r="E17" s="6"/>
      <c r="F17" s="6"/>
      <c r="G17" s="6"/>
      <c r="H17" s="6"/>
      <c r="I17" s="6"/>
      <c r="J17" s="6"/>
      <c r="K17" s="6"/>
      <c r="L17" s="6"/>
      <c r="M17" s="6"/>
      <c r="N17" s="6"/>
    </row>
  </sheetData>
  <mergeCells count="1">
    <mergeCell ref="B16:N17"/>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7CD69A85-05A1-4EBA-9DC4-810F6361C514}">
  <ds:schemaRefs/>
</ds:datastoreItem>
</file>

<file path=customXml/itemProps2.xml><?xml version="1.0" encoding="utf-8"?>
<ds:datastoreItem xmlns:ds="http://schemas.openxmlformats.org/officeDocument/2006/customXml" ds:itemID="{C0D51B27-3928-47AA-875F-E189CCC51EA9}">
  <ds:schemaRefs/>
</ds:datastoreItem>
</file>

<file path=customXml/itemProps3.xml><?xml version="1.0" encoding="utf-8"?>
<ds:datastoreItem xmlns:ds="http://schemas.openxmlformats.org/officeDocument/2006/customXml" ds:itemID="{54966053-3D38-436F-B19F-F725B1C62953}">
  <ds:schemaRefs/>
</ds:datastoreItem>
</file>

<file path=customXml/itemProps4.xml><?xml version="1.0" encoding="utf-8"?>
<ds:datastoreItem xmlns:ds="http://schemas.openxmlformats.org/officeDocument/2006/customXml" ds:itemID="{80AFCCC7-EB80-4C84-8F39-E04F1B1072E9}">
  <ds:schemaRefs/>
</ds:datastoreItem>
</file>

<file path=customXml/itemProps5.xml><?xml version="1.0" encoding="utf-8"?>
<ds:datastoreItem xmlns:ds="http://schemas.openxmlformats.org/officeDocument/2006/customXml" ds:itemID="{2B592310-0580-420E-9B62-EE9BBBD9145C}">
  <ds:schemaRefs/>
</ds:datastoreItem>
</file>

<file path=customXml/itemProps6.xml><?xml version="1.0" encoding="utf-8"?>
<ds:datastoreItem xmlns:ds="http://schemas.openxmlformats.org/officeDocument/2006/customXml" ds:itemID="{62D150A8-5121-4C51-A06B-D5BAE2CA2EE0}">
  <ds:schemaRefs/>
</ds:datastoreItem>
</file>

<file path=customXml/itemProps7.xml><?xml version="1.0" encoding="utf-8"?>
<ds:datastoreItem xmlns:ds="http://schemas.openxmlformats.org/officeDocument/2006/customXml" ds:itemID="{C163A505-CBD7-41F7-B080-974FF9761D61}">
  <ds:schemaRefs/>
</ds:datastoreItem>
</file>

<file path=customXml/itemProps8.xml><?xml version="1.0" encoding="utf-8"?>
<ds:datastoreItem xmlns:ds="http://schemas.openxmlformats.org/officeDocument/2006/customXml" ds:itemID="{B2CC60A7-CF07-4D83-A477-66E0256D389B}">
  <ds:schemaRefs/>
</ds:datastoreItem>
</file>

<file path=customXml/itemProps9.xml><?xml version="1.0" encoding="utf-8"?>
<ds:datastoreItem xmlns:ds="http://schemas.openxmlformats.org/officeDocument/2006/customXml" ds:itemID="{E4523613-1B4A-4351-BA0B-16349FEB8213}">
  <ds:schemaRefs/>
</ds:datastoreItem>
</file>

<file path=customXml/itemProps10.xml><?xml version="1.0" encoding="utf-8"?>
<ds:datastoreItem xmlns:ds="http://schemas.openxmlformats.org/officeDocument/2006/customXml" ds:itemID="{98C2F4D5-3487-4D1B-9983-5D0D0E28CC0B}">
  <ds:schemaRefs/>
</ds:datastoreItem>
</file>

<file path=customXml/itemProps11.xml><?xml version="1.0" encoding="utf-8"?>
<ds:datastoreItem xmlns:ds="http://schemas.openxmlformats.org/officeDocument/2006/customXml" ds:itemID="{C25E865C-31CF-47D0-839A-B894A098E891}">
  <ds:schemaRefs/>
</ds:datastoreItem>
</file>

<file path=customXml/itemProps12.xml><?xml version="1.0" encoding="utf-8"?>
<ds:datastoreItem xmlns:ds="http://schemas.openxmlformats.org/officeDocument/2006/customXml" ds:itemID="{31FE1FFF-087E-4359-847D-B1BE4EABAE4B}">
  <ds:schemaRefs>
    <ds:schemaRef ds:uri="http://schemas.microsoft.com/DataMashup"/>
  </ds:schemaRefs>
</ds:datastoreItem>
</file>

<file path=customXml/itemProps13.xml><?xml version="1.0" encoding="utf-8"?>
<ds:datastoreItem xmlns:ds="http://schemas.openxmlformats.org/officeDocument/2006/customXml" ds:itemID="{E3C4E976-32C5-42FE-A7BB-F6BF4B90FC89}">
  <ds:schemaRefs/>
</ds:datastoreItem>
</file>

<file path=customXml/itemProps14.xml><?xml version="1.0" encoding="utf-8"?>
<ds:datastoreItem xmlns:ds="http://schemas.openxmlformats.org/officeDocument/2006/customXml" ds:itemID="{4131334E-924C-4480-A591-92A36D8C2320}">
  <ds:schemaRefs/>
</ds:datastoreItem>
</file>

<file path=customXml/itemProps15.xml><?xml version="1.0" encoding="utf-8"?>
<ds:datastoreItem xmlns:ds="http://schemas.openxmlformats.org/officeDocument/2006/customXml" ds:itemID="{9406BC54-541F-4D44-A775-FE5336F81D66}">
  <ds:schemaRefs/>
</ds:datastoreItem>
</file>

<file path=customXml/itemProps16.xml><?xml version="1.0" encoding="utf-8"?>
<ds:datastoreItem xmlns:ds="http://schemas.openxmlformats.org/officeDocument/2006/customXml" ds:itemID="{BE5F28C8-AC55-4C17-860B-E91F77F39DFA}">
  <ds:schemaRefs/>
</ds:datastoreItem>
</file>

<file path=customXml/itemProps17.xml><?xml version="1.0" encoding="utf-8"?>
<ds:datastoreItem xmlns:ds="http://schemas.openxmlformats.org/officeDocument/2006/customXml" ds:itemID="{3203C851-7D22-4561-8398-E1C893A1E8C0}">
  <ds:schemaRefs/>
</ds:datastoreItem>
</file>

<file path=customXml/itemProps18.xml><?xml version="1.0" encoding="utf-8"?>
<ds:datastoreItem xmlns:ds="http://schemas.openxmlformats.org/officeDocument/2006/customXml" ds:itemID="{CC099247-FB1B-4C57-BC2E-740CF869398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Dashboard</vt:lpstr>
      <vt:lpstr>Average patient satisfaction sc</vt:lpstr>
      <vt:lpstr>Average waiting time</vt:lpstr>
      <vt:lpstr>Daily NO of patients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Tejas Tejas</dc:creator>
  <cp:lastModifiedBy>Tejas Tejas</cp:lastModifiedBy>
  <dcterms:created xsi:type="dcterms:W3CDTF">2026-09-07T15:40:14Z</dcterms:created>
  <dcterms:modified xsi:type="dcterms:W3CDTF">2026-09-10T10:17:28Z</dcterms:modified>
</cp:coreProperties>
</file>